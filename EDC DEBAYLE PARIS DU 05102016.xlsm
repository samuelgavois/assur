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updateLinks="never" codeName="ThisWorkbook" defaultThemeVersion="124226"/>
  <bookViews>
    <workbookView xWindow="120" yWindow="840" windowWidth="15570" windowHeight="10020" tabRatio="616" activeTab="1"/>
  </bookViews>
  <sheets>
    <sheet name="EDC - PARAMETRAGE" sheetId="7" r:id="rId1"/>
    <sheet name="EDC - PRODUCTION" sheetId="11" r:id="rId2"/>
    <sheet name="EDC - TABLE SINISTRE" sheetId="8" r:id="rId3"/>
    <sheet name="RECODIFICATION VARIABLES" sheetId="4" state="hidden" r:id="rId4"/>
    <sheet name="Libelles Types de risques" sheetId="12" state="hidden" r:id="rId5"/>
    <sheet name="Tableaux à actualiser" sheetId="14" state="hidden" r:id="rId6"/>
  </sheets>
  <definedNames>
    <definedName name="_AMO_UniqueIdentifier" hidden="1">"'070961bf-a3aa-4125-9ea8-cac582188219'"</definedName>
    <definedName name="_xlnm._FilterDatabase" localSheetId="1" hidden="1">'EDC - PRODUCTION'!$A$6:$DP$6</definedName>
    <definedName name="_xlnm._FilterDatabase" localSheetId="2" hidden="1">'EDC - TABLE SINISTRE'!$A$2:$I$1000</definedName>
    <definedName name="L_COMPAGNIE">#REF!</definedName>
    <definedName name="L_SURF_COM">#REF!</definedName>
    <definedName name="L_TOITURE">#REF!</definedName>
    <definedName name="L_type_de_risque">#REF!</definedName>
    <definedName name="L_USAGE">#REF!</definedName>
    <definedName name="SDCH">#REF!</definedName>
    <definedName name="TAB_COMPAGNIE">#REF!</definedName>
    <definedName name="VARIABLE_ACTUELLE" comment="xx">'RECODIFICATION VARIABLES'!$B$2</definedName>
  </definedName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BT8" i="11" l="1"/>
  <c r="BT39" i="11" l="1"/>
  <c r="BQ23" i="11"/>
  <c r="BT23" i="11" s="1"/>
  <c r="BU8" i="11"/>
  <c r="BU9" i="11"/>
  <c r="BU10" i="11"/>
  <c r="BU11" i="11"/>
  <c r="BU12" i="11"/>
  <c r="BU13" i="11"/>
  <c r="BU14" i="11"/>
  <c r="BU15" i="11"/>
  <c r="BU16" i="11"/>
  <c r="BU17" i="11"/>
  <c r="BU18" i="11"/>
  <c r="BU19" i="11"/>
  <c r="BU20" i="11"/>
  <c r="BU21" i="11"/>
  <c r="BU22" i="11"/>
  <c r="BU23" i="11"/>
  <c r="BU24" i="11"/>
  <c r="BU25" i="11"/>
  <c r="BU26" i="11"/>
  <c r="BU27" i="11"/>
  <c r="BU28" i="11"/>
  <c r="BU29" i="11"/>
  <c r="BU30" i="11"/>
  <c r="BU31" i="11"/>
  <c r="BU32" i="11"/>
  <c r="BU33" i="11"/>
  <c r="BU34" i="11"/>
  <c r="BU35" i="11"/>
  <c r="BU36" i="11"/>
  <c r="BU37" i="11"/>
  <c r="BU38" i="11"/>
  <c r="BU39" i="11"/>
  <c r="BU40" i="11"/>
  <c r="BU41" i="11"/>
  <c r="BU42" i="11"/>
  <c r="BU43" i="11"/>
  <c r="BU44" i="11"/>
  <c r="BU45" i="11"/>
  <c r="BU46" i="11"/>
  <c r="BU47" i="11"/>
  <c r="BU48" i="11"/>
  <c r="BU49" i="11"/>
  <c r="BU7" i="11"/>
  <c r="BI23" i="11" l="1"/>
  <c r="G10" i="8" l="1"/>
  <c r="BW3" i="11" l="1"/>
  <c r="BU3" i="11"/>
  <c r="AY3" i="11"/>
  <c r="AN3" i="11"/>
  <c r="Q3" i="11"/>
  <c r="M3" i="11"/>
  <c r="J3" i="8" l="1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C504" i="8"/>
  <c r="C503" i="8"/>
  <c r="C502" i="8"/>
  <c r="C501" i="8"/>
  <c r="C500" i="8"/>
  <c r="C499" i="8"/>
  <c r="C498" i="8"/>
  <c r="C497" i="8"/>
  <c r="C496" i="8"/>
  <c r="C495" i="8"/>
  <c r="C494" i="8"/>
  <c r="C493" i="8"/>
  <c r="C492" i="8"/>
  <c r="C491" i="8"/>
  <c r="C490" i="8"/>
  <c r="C489" i="8"/>
  <c r="C488" i="8"/>
  <c r="C487" i="8"/>
  <c r="C486" i="8"/>
  <c r="C485" i="8"/>
  <c r="C484" i="8"/>
  <c r="C483" i="8"/>
  <c r="C482" i="8"/>
  <c r="C481" i="8"/>
  <c r="C480" i="8"/>
  <c r="C479" i="8"/>
  <c r="C478" i="8"/>
  <c r="C477" i="8"/>
  <c r="C476" i="8"/>
  <c r="C475" i="8"/>
  <c r="C474" i="8"/>
  <c r="C473" i="8"/>
  <c r="C472" i="8"/>
  <c r="C471" i="8"/>
  <c r="C470" i="8"/>
  <c r="C469" i="8"/>
  <c r="C468" i="8"/>
  <c r="C467" i="8"/>
  <c r="C466" i="8"/>
  <c r="C465" i="8"/>
  <c r="C464" i="8"/>
  <c r="C463" i="8"/>
  <c r="C462" i="8"/>
  <c r="C461" i="8"/>
  <c r="C460" i="8"/>
  <c r="C459" i="8"/>
  <c r="C458" i="8"/>
  <c r="C457" i="8"/>
  <c r="C456" i="8"/>
  <c r="C455" i="8"/>
  <c r="C454" i="8"/>
  <c r="C453" i="8"/>
  <c r="C452" i="8"/>
  <c r="C451" i="8"/>
  <c r="C450" i="8"/>
  <c r="C449" i="8"/>
  <c r="C448" i="8"/>
  <c r="C447" i="8"/>
  <c r="C446" i="8"/>
  <c r="C445" i="8"/>
  <c r="C444" i="8"/>
  <c r="C443" i="8"/>
  <c r="C442" i="8"/>
  <c r="C441" i="8"/>
  <c r="C440" i="8"/>
  <c r="C439" i="8"/>
  <c r="C438" i="8"/>
  <c r="C437" i="8"/>
  <c r="C436" i="8"/>
  <c r="C435" i="8"/>
  <c r="C434" i="8"/>
  <c r="C433" i="8"/>
  <c r="C432" i="8"/>
  <c r="C431" i="8"/>
  <c r="C430" i="8"/>
  <c r="C429" i="8"/>
  <c r="C428" i="8"/>
  <c r="C427" i="8"/>
  <c r="C426" i="8"/>
  <c r="C425" i="8"/>
  <c r="C424" i="8"/>
  <c r="C423" i="8"/>
  <c r="C422" i="8"/>
  <c r="C421" i="8"/>
  <c r="C420" i="8"/>
  <c r="C419" i="8"/>
  <c r="C418" i="8"/>
  <c r="C417" i="8"/>
  <c r="C416" i="8"/>
  <c r="C415" i="8"/>
  <c r="C414" i="8"/>
  <c r="C413" i="8"/>
  <c r="C412" i="8"/>
  <c r="C411" i="8"/>
  <c r="C410" i="8"/>
  <c r="C409" i="8"/>
  <c r="C408" i="8"/>
  <c r="C407" i="8"/>
  <c r="C406" i="8"/>
  <c r="C405" i="8"/>
  <c r="C404" i="8"/>
  <c r="C403" i="8"/>
  <c r="C402" i="8"/>
  <c r="C401" i="8"/>
  <c r="C400" i="8"/>
  <c r="C399" i="8"/>
  <c r="C398" i="8"/>
  <c r="C397" i="8"/>
  <c r="C396" i="8"/>
  <c r="C395" i="8"/>
  <c r="C394" i="8"/>
  <c r="C393" i="8"/>
  <c r="C392" i="8"/>
  <c r="C391" i="8"/>
  <c r="C390" i="8"/>
  <c r="C389" i="8"/>
  <c r="C388" i="8"/>
  <c r="C387" i="8"/>
  <c r="C386" i="8"/>
  <c r="C385" i="8"/>
  <c r="C384" i="8"/>
  <c r="C383" i="8"/>
  <c r="C382" i="8"/>
  <c r="C381" i="8"/>
  <c r="C380" i="8"/>
  <c r="C379" i="8"/>
  <c r="C378" i="8"/>
  <c r="C377" i="8"/>
  <c r="C376" i="8"/>
  <c r="C375" i="8"/>
  <c r="C374" i="8"/>
  <c r="C373" i="8"/>
  <c r="C372" i="8"/>
  <c r="C371" i="8"/>
  <c r="C370" i="8"/>
  <c r="C369" i="8"/>
  <c r="C368" i="8"/>
  <c r="C367" i="8"/>
  <c r="C366" i="8"/>
  <c r="C365" i="8"/>
  <c r="C364" i="8"/>
  <c r="C363" i="8"/>
  <c r="C362" i="8"/>
  <c r="C361" i="8"/>
  <c r="C360" i="8"/>
  <c r="C359" i="8"/>
  <c r="C358" i="8"/>
  <c r="C357" i="8"/>
  <c r="C356" i="8"/>
  <c r="C355" i="8"/>
  <c r="C354" i="8"/>
  <c r="C353" i="8"/>
  <c r="C352" i="8"/>
  <c r="C351" i="8"/>
  <c r="C350" i="8"/>
  <c r="C349" i="8"/>
  <c r="C348" i="8"/>
  <c r="C347" i="8"/>
  <c r="C346" i="8"/>
  <c r="C345" i="8"/>
  <c r="C344" i="8"/>
  <c r="C343" i="8"/>
  <c r="C342" i="8"/>
  <c r="C341" i="8"/>
  <c r="C340" i="8"/>
  <c r="C339" i="8"/>
  <c r="C338" i="8"/>
  <c r="C337" i="8"/>
  <c r="C336" i="8"/>
  <c r="C335" i="8"/>
  <c r="C334" i="8"/>
  <c r="C333" i="8"/>
  <c r="C332" i="8"/>
  <c r="C331" i="8"/>
  <c r="C330" i="8"/>
  <c r="C329" i="8"/>
  <c r="C328" i="8"/>
  <c r="C327" i="8"/>
  <c r="C326" i="8"/>
  <c r="C325" i="8"/>
  <c r="C324" i="8"/>
  <c r="C323" i="8"/>
  <c r="C322" i="8"/>
  <c r="C321" i="8"/>
  <c r="C320" i="8"/>
  <c r="C319" i="8"/>
  <c r="C318" i="8"/>
  <c r="C317" i="8"/>
  <c r="C316" i="8"/>
  <c r="C315" i="8"/>
  <c r="C314" i="8"/>
  <c r="C313" i="8"/>
  <c r="C312" i="8"/>
  <c r="C311" i="8"/>
  <c r="C310" i="8"/>
  <c r="C309" i="8"/>
  <c r="C308" i="8"/>
  <c r="C307" i="8"/>
  <c r="C306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D1000" i="8"/>
  <c r="D999" i="8"/>
  <c r="D998" i="8"/>
  <c r="D997" i="8"/>
  <c r="D996" i="8"/>
  <c r="D995" i="8"/>
  <c r="D994" i="8"/>
  <c r="D993" i="8"/>
  <c r="D992" i="8"/>
  <c r="D991" i="8"/>
  <c r="D990" i="8"/>
  <c r="D989" i="8"/>
  <c r="D988" i="8"/>
  <c r="D987" i="8"/>
  <c r="D986" i="8"/>
  <c r="D985" i="8"/>
  <c r="D984" i="8"/>
  <c r="D983" i="8"/>
  <c r="D982" i="8"/>
  <c r="D981" i="8"/>
  <c r="D980" i="8"/>
  <c r="D979" i="8"/>
  <c r="D978" i="8"/>
  <c r="D977" i="8"/>
  <c r="D976" i="8"/>
  <c r="D975" i="8"/>
  <c r="D974" i="8"/>
  <c r="D973" i="8"/>
  <c r="D972" i="8"/>
  <c r="D971" i="8"/>
  <c r="D970" i="8"/>
  <c r="D969" i="8"/>
  <c r="D968" i="8"/>
  <c r="D967" i="8"/>
  <c r="D966" i="8"/>
  <c r="D965" i="8"/>
  <c r="D964" i="8"/>
  <c r="D963" i="8"/>
  <c r="D962" i="8"/>
  <c r="D961" i="8"/>
  <c r="D960" i="8"/>
  <c r="D959" i="8"/>
  <c r="D958" i="8"/>
  <c r="D957" i="8"/>
  <c r="D956" i="8"/>
  <c r="D955" i="8"/>
  <c r="D954" i="8"/>
  <c r="D953" i="8"/>
  <c r="D952" i="8"/>
  <c r="D951" i="8"/>
  <c r="D950" i="8"/>
  <c r="D949" i="8"/>
  <c r="D948" i="8"/>
  <c r="D947" i="8"/>
  <c r="D946" i="8"/>
  <c r="D945" i="8"/>
  <c r="D944" i="8"/>
  <c r="D943" i="8"/>
  <c r="D942" i="8"/>
  <c r="D941" i="8"/>
  <c r="D940" i="8"/>
  <c r="D939" i="8"/>
  <c r="D938" i="8"/>
  <c r="D937" i="8"/>
  <c r="D936" i="8"/>
  <c r="D935" i="8"/>
  <c r="D934" i="8"/>
  <c r="D933" i="8"/>
  <c r="D932" i="8"/>
  <c r="D931" i="8"/>
  <c r="D930" i="8"/>
  <c r="D929" i="8"/>
  <c r="D928" i="8"/>
  <c r="D927" i="8"/>
  <c r="D926" i="8"/>
  <c r="D925" i="8"/>
  <c r="D924" i="8"/>
  <c r="D923" i="8"/>
  <c r="D922" i="8"/>
  <c r="D921" i="8"/>
  <c r="D920" i="8"/>
  <c r="D919" i="8"/>
  <c r="D918" i="8"/>
  <c r="D917" i="8"/>
  <c r="D916" i="8"/>
  <c r="D915" i="8"/>
  <c r="D914" i="8"/>
  <c r="D913" i="8"/>
  <c r="D912" i="8"/>
  <c r="D911" i="8"/>
  <c r="D910" i="8"/>
  <c r="D909" i="8"/>
  <c r="D908" i="8"/>
  <c r="D907" i="8"/>
  <c r="D906" i="8"/>
  <c r="D905" i="8"/>
  <c r="D904" i="8"/>
  <c r="D903" i="8"/>
  <c r="D902" i="8"/>
  <c r="D901" i="8"/>
  <c r="D900" i="8"/>
  <c r="D899" i="8"/>
  <c r="D898" i="8"/>
  <c r="D897" i="8"/>
  <c r="D896" i="8"/>
  <c r="D895" i="8"/>
  <c r="D894" i="8"/>
  <c r="D893" i="8"/>
  <c r="D892" i="8"/>
  <c r="D891" i="8"/>
  <c r="D890" i="8"/>
  <c r="D889" i="8"/>
  <c r="D888" i="8"/>
  <c r="D887" i="8"/>
  <c r="D886" i="8"/>
  <c r="D885" i="8"/>
  <c r="D884" i="8"/>
  <c r="D883" i="8"/>
  <c r="D882" i="8"/>
  <c r="D881" i="8"/>
  <c r="D880" i="8"/>
  <c r="D879" i="8"/>
  <c r="D878" i="8"/>
  <c r="D877" i="8"/>
  <c r="D876" i="8"/>
  <c r="D875" i="8"/>
  <c r="D874" i="8"/>
  <c r="D873" i="8"/>
  <c r="D872" i="8"/>
  <c r="D871" i="8"/>
  <c r="D870" i="8"/>
  <c r="D869" i="8"/>
  <c r="D868" i="8"/>
  <c r="D867" i="8"/>
  <c r="D866" i="8"/>
  <c r="D865" i="8"/>
  <c r="D864" i="8"/>
  <c r="D863" i="8"/>
  <c r="D862" i="8"/>
  <c r="D861" i="8"/>
  <c r="D860" i="8"/>
  <c r="D859" i="8"/>
  <c r="D858" i="8"/>
  <c r="D857" i="8"/>
  <c r="D856" i="8"/>
  <c r="D855" i="8"/>
  <c r="D854" i="8"/>
  <c r="D853" i="8"/>
  <c r="D852" i="8"/>
  <c r="D851" i="8"/>
  <c r="D850" i="8"/>
  <c r="D849" i="8"/>
  <c r="D848" i="8"/>
  <c r="D847" i="8"/>
  <c r="D846" i="8"/>
  <c r="D845" i="8"/>
  <c r="D844" i="8"/>
  <c r="D843" i="8"/>
  <c r="D842" i="8"/>
  <c r="D841" i="8"/>
  <c r="D840" i="8"/>
  <c r="D839" i="8"/>
  <c r="D838" i="8"/>
  <c r="D837" i="8"/>
  <c r="D836" i="8"/>
  <c r="D835" i="8"/>
  <c r="D834" i="8"/>
  <c r="D833" i="8"/>
  <c r="D832" i="8"/>
  <c r="D831" i="8"/>
  <c r="D830" i="8"/>
  <c r="D829" i="8"/>
  <c r="D828" i="8"/>
  <c r="D827" i="8"/>
  <c r="D826" i="8"/>
  <c r="D825" i="8"/>
  <c r="D824" i="8"/>
  <c r="D823" i="8"/>
  <c r="D822" i="8"/>
  <c r="D821" i="8"/>
  <c r="D820" i="8"/>
  <c r="D819" i="8"/>
  <c r="D818" i="8"/>
  <c r="D817" i="8"/>
  <c r="D816" i="8"/>
  <c r="D815" i="8"/>
  <c r="D814" i="8"/>
  <c r="D813" i="8"/>
  <c r="D812" i="8"/>
  <c r="D811" i="8"/>
  <c r="D810" i="8"/>
  <c r="D809" i="8"/>
  <c r="D808" i="8"/>
  <c r="D807" i="8"/>
  <c r="D806" i="8"/>
  <c r="D805" i="8"/>
  <c r="D804" i="8"/>
  <c r="D803" i="8"/>
  <c r="D802" i="8"/>
  <c r="D801" i="8"/>
  <c r="D800" i="8"/>
  <c r="D799" i="8"/>
  <c r="D798" i="8"/>
  <c r="D797" i="8"/>
  <c r="D796" i="8"/>
  <c r="D795" i="8"/>
  <c r="D794" i="8"/>
  <c r="D793" i="8"/>
  <c r="D792" i="8"/>
  <c r="D791" i="8"/>
  <c r="D790" i="8"/>
  <c r="D789" i="8"/>
  <c r="D788" i="8"/>
  <c r="D787" i="8"/>
  <c r="D786" i="8"/>
  <c r="D785" i="8"/>
  <c r="D784" i="8"/>
  <c r="D783" i="8"/>
  <c r="D782" i="8"/>
  <c r="D781" i="8"/>
  <c r="D780" i="8"/>
  <c r="D779" i="8"/>
  <c r="D778" i="8"/>
  <c r="D777" i="8"/>
  <c r="D776" i="8"/>
  <c r="D775" i="8"/>
  <c r="D774" i="8"/>
  <c r="D773" i="8"/>
  <c r="D772" i="8"/>
  <c r="D771" i="8"/>
  <c r="D770" i="8"/>
  <c r="D769" i="8"/>
  <c r="D768" i="8"/>
  <c r="D767" i="8"/>
  <c r="D766" i="8"/>
  <c r="D765" i="8"/>
  <c r="D764" i="8"/>
  <c r="D763" i="8"/>
  <c r="D762" i="8"/>
  <c r="D761" i="8"/>
  <c r="D760" i="8"/>
  <c r="D759" i="8"/>
  <c r="D758" i="8"/>
  <c r="D757" i="8"/>
  <c r="D756" i="8"/>
  <c r="D755" i="8"/>
  <c r="D754" i="8"/>
  <c r="D753" i="8"/>
  <c r="D752" i="8"/>
  <c r="D751" i="8"/>
  <c r="D750" i="8"/>
  <c r="D749" i="8"/>
  <c r="D748" i="8"/>
  <c r="D747" i="8"/>
  <c r="D746" i="8"/>
  <c r="D745" i="8"/>
  <c r="D744" i="8"/>
  <c r="D743" i="8"/>
  <c r="D742" i="8"/>
  <c r="D741" i="8"/>
  <c r="D740" i="8"/>
  <c r="D739" i="8"/>
  <c r="D738" i="8"/>
  <c r="D737" i="8"/>
  <c r="D736" i="8"/>
  <c r="D735" i="8"/>
  <c r="D734" i="8"/>
  <c r="D733" i="8"/>
  <c r="D732" i="8"/>
  <c r="D731" i="8"/>
  <c r="D730" i="8"/>
  <c r="D729" i="8"/>
  <c r="D728" i="8"/>
  <c r="D727" i="8"/>
  <c r="D726" i="8"/>
  <c r="D725" i="8"/>
  <c r="D724" i="8"/>
  <c r="D723" i="8"/>
  <c r="D722" i="8"/>
  <c r="D721" i="8"/>
  <c r="D720" i="8"/>
  <c r="D719" i="8"/>
  <c r="D718" i="8"/>
  <c r="D717" i="8"/>
  <c r="D716" i="8"/>
  <c r="D715" i="8"/>
  <c r="D714" i="8"/>
  <c r="D713" i="8"/>
  <c r="D712" i="8"/>
  <c r="D711" i="8"/>
  <c r="D710" i="8"/>
  <c r="D709" i="8"/>
  <c r="D708" i="8"/>
  <c r="D707" i="8"/>
  <c r="D706" i="8"/>
  <c r="D705" i="8"/>
  <c r="D704" i="8"/>
  <c r="D703" i="8"/>
  <c r="D702" i="8"/>
  <c r="D701" i="8"/>
  <c r="D700" i="8"/>
  <c r="D699" i="8"/>
  <c r="D698" i="8"/>
  <c r="D697" i="8"/>
  <c r="D696" i="8"/>
  <c r="D695" i="8"/>
  <c r="D694" i="8"/>
  <c r="D693" i="8"/>
  <c r="D692" i="8"/>
  <c r="D691" i="8"/>
  <c r="D690" i="8"/>
  <c r="D689" i="8"/>
  <c r="D688" i="8"/>
  <c r="D687" i="8"/>
  <c r="D686" i="8"/>
  <c r="D685" i="8"/>
  <c r="D684" i="8"/>
  <c r="D683" i="8"/>
  <c r="D682" i="8"/>
  <c r="D681" i="8"/>
  <c r="D680" i="8"/>
  <c r="D679" i="8"/>
  <c r="D678" i="8"/>
  <c r="D677" i="8"/>
  <c r="D676" i="8"/>
  <c r="D675" i="8"/>
  <c r="D674" i="8"/>
  <c r="D673" i="8"/>
  <c r="D672" i="8"/>
  <c r="D671" i="8"/>
  <c r="D670" i="8"/>
  <c r="D669" i="8"/>
  <c r="D668" i="8"/>
  <c r="D667" i="8"/>
  <c r="D666" i="8"/>
  <c r="D665" i="8"/>
  <c r="D664" i="8"/>
  <c r="D663" i="8"/>
  <c r="D662" i="8"/>
  <c r="D661" i="8"/>
  <c r="D660" i="8"/>
  <c r="D659" i="8"/>
  <c r="D658" i="8"/>
  <c r="D657" i="8"/>
  <c r="D656" i="8"/>
  <c r="D655" i="8"/>
  <c r="D654" i="8"/>
  <c r="D653" i="8"/>
  <c r="D652" i="8"/>
  <c r="D651" i="8"/>
  <c r="D650" i="8"/>
  <c r="D649" i="8"/>
  <c r="D648" i="8"/>
  <c r="D647" i="8"/>
  <c r="D646" i="8"/>
  <c r="D645" i="8"/>
  <c r="D644" i="8"/>
  <c r="D643" i="8"/>
  <c r="D642" i="8"/>
  <c r="D641" i="8"/>
  <c r="D640" i="8"/>
  <c r="D639" i="8"/>
  <c r="D638" i="8"/>
  <c r="D637" i="8"/>
  <c r="D636" i="8"/>
  <c r="D635" i="8"/>
  <c r="D634" i="8"/>
  <c r="D633" i="8"/>
  <c r="D632" i="8"/>
  <c r="D631" i="8"/>
  <c r="D630" i="8"/>
  <c r="D629" i="8"/>
  <c r="D628" i="8"/>
  <c r="D627" i="8"/>
  <c r="D626" i="8"/>
  <c r="D625" i="8"/>
  <c r="D624" i="8"/>
  <c r="D623" i="8"/>
  <c r="D622" i="8"/>
  <c r="D621" i="8"/>
  <c r="D620" i="8"/>
  <c r="D619" i="8"/>
  <c r="D618" i="8"/>
  <c r="D617" i="8"/>
  <c r="D616" i="8"/>
  <c r="D615" i="8"/>
  <c r="D614" i="8"/>
  <c r="D613" i="8"/>
  <c r="D612" i="8"/>
  <c r="D611" i="8"/>
  <c r="D610" i="8"/>
  <c r="D609" i="8"/>
  <c r="D608" i="8"/>
  <c r="D607" i="8"/>
  <c r="D606" i="8"/>
  <c r="D605" i="8"/>
  <c r="D604" i="8"/>
  <c r="D603" i="8"/>
  <c r="D602" i="8"/>
  <c r="D601" i="8"/>
  <c r="D600" i="8"/>
  <c r="D599" i="8"/>
  <c r="D598" i="8"/>
  <c r="D597" i="8"/>
  <c r="D596" i="8"/>
  <c r="D595" i="8"/>
  <c r="D594" i="8"/>
  <c r="D593" i="8"/>
  <c r="D592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A7" i="11" l="1"/>
  <c r="J12" i="8"/>
  <c r="J11" i="8"/>
  <c r="J10" i="8"/>
  <c r="J9" i="8"/>
  <c r="J8" i="8"/>
  <c r="J7" i="8"/>
  <c r="J6" i="8"/>
  <c r="J5" i="8"/>
  <c r="J4" i="8"/>
  <c r="F6" i="8"/>
  <c r="F8" i="8"/>
  <c r="F9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40" i="8"/>
  <c r="F41" i="8"/>
  <c r="F42" i="8"/>
  <c r="F44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3" i="8"/>
  <c r="T7" i="11" l="1"/>
  <c r="S7" i="11"/>
  <c r="H7" i="11"/>
  <c r="AO10" i="11" l="1"/>
  <c r="R7" i="11"/>
  <c r="O7" i="11"/>
  <c r="J984" i="8"/>
  <c r="J991" i="8"/>
  <c r="J992" i="8"/>
  <c r="J993" i="8"/>
  <c r="J994" i="8"/>
  <c r="J995" i="8"/>
  <c r="J996" i="8"/>
  <c r="J997" i="8"/>
  <c r="J998" i="8"/>
  <c r="J999" i="8"/>
  <c r="J1000" i="8"/>
  <c r="BE7" i="11" l="1"/>
  <c r="BD7" i="11"/>
  <c r="BC7" i="11"/>
  <c r="BB7" i="11"/>
  <c r="AC7" i="11"/>
  <c r="BQ7" i="11" l="1"/>
  <c r="BT7" i="11" s="1"/>
  <c r="BY7" i="11" l="1"/>
  <c r="R10" i="11"/>
  <c r="R9" i="11"/>
  <c r="R8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 l="1"/>
  <c r="R41" i="11"/>
  <c r="R42" i="11"/>
  <c r="R43" i="11"/>
  <c r="R44" i="11"/>
  <c r="R45" i="11"/>
  <c r="R46" i="11"/>
  <c r="R47" i="11"/>
  <c r="R48" i="11"/>
  <c r="R49" i="11"/>
  <c r="B4" i="8" l="1"/>
  <c r="B3" i="8"/>
  <c r="AO7" i="11" l="1"/>
  <c r="B8" i="8"/>
  <c r="G3" i="8"/>
  <c r="AO8" i="11"/>
  <c r="G4" i="8"/>
  <c r="BQ8" i="11"/>
  <c r="BI8" i="11" s="1"/>
  <c r="BQ12" i="11"/>
  <c r="BQ11" i="11"/>
  <c r="BQ10" i="11"/>
  <c r="BQ9" i="11"/>
  <c r="BQ49" i="11"/>
  <c r="BQ48" i="11"/>
  <c r="BQ47" i="11"/>
  <c r="BQ46" i="11"/>
  <c r="BQ45" i="11"/>
  <c r="BQ44" i="11"/>
  <c r="BQ43" i="11"/>
  <c r="BQ42" i="11"/>
  <c r="BQ41" i="11"/>
  <c r="BQ40" i="11"/>
  <c r="BT40" i="11" s="1"/>
  <c r="BQ38" i="11"/>
  <c r="BQ36" i="11"/>
  <c r="BQ35" i="11"/>
  <c r="BQ34" i="11"/>
  <c r="BT34" i="11" s="1"/>
  <c r="BQ33" i="11"/>
  <c r="BQ32" i="11"/>
  <c r="BQ31" i="11"/>
  <c r="BT31" i="11" s="1"/>
  <c r="BI31" i="11" s="1"/>
  <c r="BQ30" i="11"/>
  <c r="BQ29" i="11"/>
  <c r="BQ28" i="11"/>
  <c r="BT28" i="11" s="1"/>
  <c r="BQ27" i="11"/>
  <c r="BQ26" i="11"/>
  <c r="BQ25" i="11"/>
  <c r="BQ24" i="11"/>
  <c r="BT24" i="11" s="1"/>
  <c r="BY23" i="11"/>
  <c r="BQ22" i="11"/>
  <c r="BQ21" i="11"/>
  <c r="BQ20" i="11"/>
  <c r="BQ19" i="11"/>
  <c r="BQ18" i="11"/>
  <c r="BQ17" i="11"/>
  <c r="BQ16" i="11"/>
  <c r="BQ15" i="11"/>
  <c r="BQ14" i="11"/>
  <c r="BQ13" i="11"/>
  <c r="BT14" i="11" l="1"/>
  <c r="BI14" i="11" s="1"/>
  <c r="BX14" i="11" s="1"/>
  <c r="BY22" i="11"/>
  <c r="BT22" i="11"/>
  <c r="BI22" i="11" s="1"/>
  <c r="BX22" i="11" s="1"/>
  <c r="BY38" i="11"/>
  <c r="BT38" i="11"/>
  <c r="BI38" i="11" s="1"/>
  <c r="BX38" i="11" s="1"/>
  <c r="BY42" i="11"/>
  <c r="BT42" i="11"/>
  <c r="BI42" i="11" s="1"/>
  <c r="BX42" i="11" s="1"/>
  <c r="BY48" i="11"/>
  <c r="BT48" i="11"/>
  <c r="BI48" i="11" s="1"/>
  <c r="BX48" i="11" s="1"/>
  <c r="BY9" i="11"/>
  <c r="BT9" i="11"/>
  <c r="BI9" i="11" s="1"/>
  <c r="BY15" i="11"/>
  <c r="BT15" i="11"/>
  <c r="BI15" i="11" s="1"/>
  <c r="BX15" i="11" s="1"/>
  <c r="BY35" i="11"/>
  <c r="BT35" i="11"/>
  <c r="BI35" i="11" s="1"/>
  <c r="BX35" i="11" s="1"/>
  <c r="BY39" i="11"/>
  <c r="BI39" i="11"/>
  <c r="BX39" i="11" s="1"/>
  <c r="BY43" i="11"/>
  <c r="BT43" i="11"/>
  <c r="BI43" i="11" s="1"/>
  <c r="BY49" i="11"/>
  <c r="BT49" i="11"/>
  <c r="BI49" i="11" s="1"/>
  <c r="BX49" i="11" s="1"/>
  <c r="BZ49" i="11" s="1"/>
  <c r="BY16" i="11"/>
  <c r="BT16" i="11"/>
  <c r="BI16" i="11" s="1"/>
  <c r="BX16" i="11" s="1"/>
  <c r="BY20" i="11"/>
  <c r="BT20" i="11"/>
  <c r="BI20" i="11" s="1"/>
  <c r="BX20" i="11" s="1"/>
  <c r="BZ20" i="11" s="1"/>
  <c r="BY36" i="11"/>
  <c r="BT36" i="11"/>
  <c r="BI36" i="11" s="1"/>
  <c r="BX36" i="11" s="1"/>
  <c r="BY40" i="11"/>
  <c r="BI40" i="11"/>
  <c r="BX40" i="11" s="1"/>
  <c r="BZ40" i="11" s="1"/>
  <c r="BY44" i="11"/>
  <c r="BT44" i="11"/>
  <c r="BI44" i="11" s="1"/>
  <c r="BX44" i="11" s="1"/>
  <c r="BY46" i="11"/>
  <c r="BT46" i="11"/>
  <c r="BI46" i="11" s="1"/>
  <c r="BX46" i="11" s="1"/>
  <c r="BY11" i="11"/>
  <c r="BT11" i="11"/>
  <c r="BI11" i="11" s="1"/>
  <c r="BX11" i="11" s="1"/>
  <c r="BY13" i="11"/>
  <c r="BT13" i="11"/>
  <c r="BI13" i="11" s="1"/>
  <c r="BX13" i="11" s="1"/>
  <c r="BY17" i="11"/>
  <c r="BT17" i="11"/>
  <c r="BI17" i="11" s="1"/>
  <c r="BX17" i="11" s="1"/>
  <c r="BY21" i="11"/>
  <c r="BT21" i="11"/>
  <c r="BI21" i="11" s="1"/>
  <c r="BX21" i="11" s="1"/>
  <c r="BY25" i="11"/>
  <c r="BT25" i="11"/>
  <c r="BI25" i="11" s="1"/>
  <c r="BX25" i="11" s="1"/>
  <c r="BY29" i="11"/>
  <c r="BT29" i="11"/>
  <c r="BI29" i="11" s="1"/>
  <c r="BX29" i="11" s="1"/>
  <c r="BY37" i="11"/>
  <c r="BT37" i="11"/>
  <c r="BI37" i="11" s="1"/>
  <c r="BX37" i="11" s="1"/>
  <c r="BY41" i="11"/>
  <c r="BT41" i="11"/>
  <c r="BI41" i="11" s="1"/>
  <c r="BX41" i="11" s="1"/>
  <c r="BY12" i="11"/>
  <c r="BT12" i="11"/>
  <c r="BI12" i="11" s="1"/>
  <c r="BX12" i="11" s="1"/>
  <c r="BY18" i="11"/>
  <c r="BT18" i="11"/>
  <c r="BI18" i="11" s="1"/>
  <c r="BX18" i="11" s="1"/>
  <c r="BZ18" i="11" s="1"/>
  <c r="BY26" i="11"/>
  <c r="BT26" i="11"/>
  <c r="BI26" i="11" s="1"/>
  <c r="BX26" i="11" s="1"/>
  <c r="BY30" i="11"/>
  <c r="BT30" i="11"/>
  <c r="BI30" i="11" s="1"/>
  <c r="BX30" i="11" s="1"/>
  <c r="BZ30" i="11" s="1"/>
  <c r="BY45" i="11"/>
  <c r="BT45" i="11"/>
  <c r="BI45" i="11" s="1"/>
  <c r="BX45" i="11" s="1"/>
  <c r="BY19" i="11"/>
  <c r="BT19" i="11"/>
  <c r="BI19" i="11" s="1"/>
  <c r="BX19" i="11" s="1"/>
  <c r="BZ19" i="11" s="1"/>
  <c r="BY27" i="11"/>
  <c r="BT27" i="11"/>
  <c r="BI27" i="11" s="1"/>
  <c r="BX27" i="11" s="1"/>
  <c r="BY10" i="11"/>
  <c r="BT10" i="11"/>
  <c r="BI10" i="11" s="1"/>
  <c r="BX10" i="11" s="1"/>
  <c r="BZ10" i="11" s="1"/>
  <c r="BY47" i="11"/>
  <c r="BT47" i="11"/>
  <c r="BI47" i="11" s="1"/>
  <c r="BX47" i="11" s="1"/>
  <c r="BY34" i="11"/>
  <c r="BI34" i="11"/>
  <c r="BX34" i="11" s="1"/>
  <c r="BY33" i="11"/>
  <c r="BT33" i="11"/>
  <c r="BI33" i="11" s="1"/>
  <c r="BX33" i="11" s="1"/>
  <c r="BY32" i="11"/>
  <c r="BT32" i="11"/>
  <c r="BI32" i="11" s="1"/>
  <c r="BX32" i="11" s="1"/>
  <c r="BY28" i="11"/>
  <c r="BI28" i="11"/>
  <c r="BX28" i="11" s="1"/>
  <c r="BY24" i="11"/>
  <c r="BI24" i="11"/>
  <c r="BX24" i="11" s="1"/>
  <c r="BY14" i="11"/>
  <c r="BY31" i="11"/>
  <c r="BY8" i="11"/>
  <c r="BQ3" i="11"/>
  <c r="BS3" i="11" s="1"/>
  <c r="R3" i="11"/>
  <c r="B7" i="11"/>
  <c r="BS7" i="11"/>
  <c r="U7" i="11"/>
  <c r="C7" i="11"/>
  <c r="BX23" i="11"/>
  <c r="BZ23" i="11" s="1"/>
  <c r="BX31" i="11"/>
  <c r="BX43" i="11"/>
  <c r="BG7" i="11"/>
  <c r="A8" i="11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571" i="8"/>
  <c r="J572" i="8"/>
  <c r="J573" i="8"/>
  <c r="J574" i="8"/>
  <c r="J575" i="8"/>
  <c r="J576" i="8"/>
  <c r="J577" i="8"/>
  <c r="J578" i="8"/>
  <c r="J579" i="8"/>
  <c r="J580" i="8"/>
  <c r="J581" i="8"/>
  <c r="J582" i="8"/>
  <c r="J583" i="8"/>
  <c r="J584" i="8"/>
  <c r="J585" i="8"/>
  <c r="J586" i="8"/>
  <c r="J587" i="8"/>
  <c r="J588" i="8"/>
  <c r="J589" i="8"/>
  <c r="J590" i="8"/>
  <c r="J591" i="8"/>
  <c r="J592" i="8"/>
  <c r="J593" i="8"/>
  <c r="J594" i="8"/>
  <c r="J595" i="8"/>
  <c r="J596" i="8"/>
  <c r="J597" i="8"/>
  <c r="J598" i="8"/>
  <c r="J599" i="8"/>
  <c r="J600" i="8"/>
  <c r="J601" i="8"/>
  <c r="J602" i="8"/>
  <c r="J603" i="8"/>
  <c r="J604" i="8"/>
  <c r="J605" i="8"/>
  <c r="J606" i="8"/>
  <c r="J607" i="8"/>
  <c r="J608" i="8"/>
  <c r="J609" i="8"/>
  <c r="J610" i="8"/>
  <c r="J611" i="8"/>
  <c r="J612" i="8"/>
  <c r="J613" i="8"/>
  <c r="J614" i="8"/>
  <c r="J615" i="8"/>
  <c r="J616" i="8"/>
  <c r="J617" i="8"/>
  <c r="J618" i="8"/>
  <c r="J619" i="8"/>
  <c r="J620" i="8"/>
  <c r="J621" i="8"/>
  <c r="J622" i="8"/>
  <c r="J623" i="8"/>
  <c r="J624" i="8"/>
  <c r="J625" i="8"/>
  <c r="J626" i="8"/>
  <c r="J627" i="8"/>
  <c r="J628" i="8"/>
  <c r="J629" i="8"/>
  <c r="J630" i="8"/>
  <c r="J631" i="8"/>
  <c r="J632" i="8"/>
  <c r="J633" i="8"/>
  <c r="J634" i="8"/>
  <c r="J635" i="8"/>
  <c r="J636" i="8"/>
  <c r="J637" i="8"/>
  <c r="J638" i="8"/>
  <c r="J639" i="8"/>
  <c r="J640" i="8"/>
  <c r="J641" i="8"/>
  <c r="J642" i="8"/>
  <c r="J643" i="8"/>
  <c r="J644" i="8"/>
  <c r="J645" i="8"/>
  <c r="J646" i="8"/>
  <c r="J647" i="8"/>
  <c r="J648" i="8"/>
  <c r="J649" i="8"/>
  <c r="J650" i="8"/>
  <c r="J651" i="8"/>
  <c r="J652" i="8"/>
  <c r="J653" i="8"/>
  <c r="J654" i="8"/>
  <c r="J655" i="8"/>
  <c r="J656" i="8"/>
  <c r="J657" i="8"/>
  <c r="J658" i="8"/>
  <c r="J659" i="8"/>
  <c r="J660" i="8"/>
  <c r="J661" i="8"/>
  <c r="J662" i="8"/>
  <c r="J663" i="8"/>
  <c r="J664" i="8"/>
  <c r="J665" i="8"/>
  <c r="J666" i="8"/>
  <c r="J667" i="8"/>
  <c r="J668" i="8"/>
  <c r="J669" i="8"/>
  <c r="J670" i="8"/>
  <c r="J671" i="8"/>
  <c r="J672" i="8"/>
  <c r="J673" i="8"/>
  <c r="J674" i="8"/>
  <c r="J675" i="8"/>
  <c r="J676" i="8"/>
  <c r="J677" i="8"/>
  <c r="J678" i="8"/>
  <c r="J679" i="8"/>
  <c r="J680" i="8"/>
  <c r="J681" i="8"/>
  <c r="J682" i="8"/>
  <c r="J683" i="8"/>
  <c r="J684" i="8"/>
  <c r="J685" i="8"/>
  <c r="J686" i="8"/>
  <c r="J687" i="8"/>
  <c r="J688" i="8"/>
  <c r="J689" i="8"/>
  <c r="J690" i="8"/>
  <c r="J691" i="8"/>
  <c r="J692" i="8"/>
  <c r="J693" i="8"/>
  <c r="J694" i="8"/>
  <c r="J695" i="8"/>
  <c r="J696" i="8"/>
  <c r="J697" i="8"/>
  <c r="J698" i="8"/>
  <c r="J699" i="8"/>
  <c r="J700" i="8"/>
  <c r="J701" i="8"/>
  <c r="J702" i="8"/>
  <c r="J703" i="8"/>
  <c r="J704" i="8"/>
  <c r="J705" i="8"/>
  <c r="J706" i="8"/>
  <c r="J707" i="8"/>
  <c r="J708" i="8"/>
  <c r="J709" i="8"/>
  <c r="J710" i="8"/>
  <c r="J711" i="8"/>
  <c r="J712" i="8"/>
  <c r="J713" i="8"/>
  <c r="J714" i="8"/>
  <c r="J715" i="8"/>
  <c r="J716" i="8"/>
  <c r="J717" i="8"/>
  <c r="J718" i="8"/>
  <c r="J719" i="8"/>
  <c r="J720" i="8"/>
  <c r="J721" i="8"/>
  <c r="J722" i="8"/>
  <c r="J723" i="8"/>
  <c r="J724" i="8"/>
  <c r="J725" i="8"/>
  <c r="J726" i="8"/>
  <c r="J727" i="8"/>
  <c r="J728" i="8"/>
  <c r="J729" i="8"/>
  <c r="J730" i="8"/>
  <c r="J731" i="8"/>
  <c r="J732" i="8"/>
  <c r="J733" i="8"/>
  <c r="J734" i="8"/>
  <c r="J735" i="8"/>
  <c r="J736" i="8"/>
  <c r="J737" i="8"/>
  <c r="J738" i="8"/>
  <c r="J739" i="8"/>
  <c r="J740" i="8"/>
  <c r="J741" i="8"/>
  <c r="J742" i="8"/>
  <c r="J743" i="8"/>
  <c r="J744" i="8"/>
  <c r="J745" i="8"/>
  <c r="J746" i="8"/>
  <c r="J747" i="8"/>
  <c r="J748" i="8"/>
  <c r="J749" i="8"/>
  <c r="J750" i="8"/>
  <c r="J751" i="8"/>
  <c r="J752" i="8"/>
  <c r="J753" i="8"/>
  <c r="J754" i="8"/>
  <c r="J755" i="8"/>
  <c r="J756" i="8"/>
  <c r="J757" i="8"/>
  <c r="J758" i="8"/>
  <c r="J759" i="8"/>
  <c r="J760" i="8"/>
  <c r="J761" i="8"/>
  <c r="J762" i="8"/>
  <c r="J763" i="8"/>
  <c r="J764" i="8"/>
  <c r="J765" i="8"/>
  <c r="J766" i="8"/>
  <c r="J767" i="8"/>
  <c r="J768" i="8"/>
  <c r="J769" i="8"/>
  <c r="J770" i="8"/>
  <c r="J771" i="8"/>
  <c r="J772" i="8"/>
  <c r="J773" i="8"/>
  <c r="J774" i="8"/>
  <c r="J775" i="8"/>
  <c r="J776" i="8"/>
  <c r="J777" i="8"/>
  <c r="J778" i="8"/>
  <c r="J779" i="8"/>
  <c r="J780" i="8"/>
  <c r="J781" i="8"/>
  <c r="J782" i="8"/>
  <c r="J783" i="8"/>
  <c r="J784" i="8"/>
  <c r="J785" i="8"/>
  <c r="J786" i="8"/>
  <c r="J787" i="8"/>
  <c r="J788" i="8"/>
  <c r="J789" i="8"/>
  <c r="J790" i="8"/>
  <c r="J791" i="8"/>
  <c r="J792" i="8"/>
  <c r="J793" i="8"/>
  <c r="J794" i="8"/>
  <c r="J795" i="8"/>
  <c r="J796" i="8"/>
  <c r="J797" i="8"/>
  <c r="J798" i="8"/>
  <c r="J799" i="8"/>
  <c r="J800" i="8"/>
  <c r="J801" i="8"/>
  <c r="J802" i="8"/>
  <c r="J803" i="8"/>
  <c r="J804" i="8"/>
  <c r="J805" i="8"/>
  <c r="J806" i="8"/>
  <c r="J807" i="8"/>
  <c r="J808" i="8"/>
  <c r="J809" i="8"/>
  <c r="J810" i="8"/>
  <c r="J811" i="8"/>
  <c r="J812" i="8"/>
  <c r="J813" i="8"/>
  <c r="J814" i="8"/>
  <c r="J815" i="8"/>
  <c r="J816" i="8"/>
  <c r="J817" i="8"/>
  <c r="J818" i="8"/>
  <c r="J819" i="8"/>
  <c r="J820" i="8"/>
  <c r="J821" i="8"/>
  <c r="J822" i="8"/>
  <c r="J823" i="8"/>
  <c r="J824" i="8"/>
  <c r="J825" i="8"/>
  <c r="J826" i="8"/>
  <c r="J827" i="8"/>
  <c r="J828" i="8"/>
  <c r="J829" i="8"/>
  <c r="J830" i="8"/>
  <c r="J831" i="8"/>
  <c r="J832" i="8"/>
  <c r="J833" i="8"/>
  <c r="J834" i="8"/>
  <c r="J835" i="8"/>
  <c r="J836" i="8"/>
  <c r="J837" i="8"/>
  <c r="J838" i="8"/>
  <c r="J839" i="8"/>
  <c r="J840" i="8"/>
  <c r="J841" i="8"/>
  <c r="J842" i="8"/>
  <c r="J843" i="8"/>
  <c r="J844" i="8"/>
  <c r="J845" i="8"/>
  <c r="J846" i="8"/>
  <c r="J847" i="8"/>
  <c r="J848" i="8"/>
  <c r="J849" i="8"/>
  <c r="J850" i="8"/>
  <c r="J851" i="8"/>
  <c r="J852" i="8"/>
  <c r="J853" i="8"/>
  <c r="J854" i="8"/>
  <c r="J855" i="8"/>
  <c r="J856" i="8"/>
  <c r="J857" i="8"/>
  <c r="J858" i="8"/>
  <c r="J859" i="8"/>
  <c r="J860" i="8"/>
  <c r="J861" i="8"/>
  <c r="J862" i="8"/>
  <c r="J863" i="8"/>
  <c r="J864" i="8"/>
  <c r="J865" i="8"/>
  <c r="J866" i="8"/>
  <c r="J867" i="8"/>
  <c r="J868" i="8"/>
  <c r="J869" i="8"/>
  <c r="J870" i="8"/>
  <c r="J871" i="8"/>
  <c r="J872" i="8"/>
  <c r="J873" i="8"/>
  <c r="J874" i="8"/>
  <c r="J875" i="8"/>
  <c r="J876" i="8"/>
  <c r="J877" i="8"/>
  <c r="J878" i="8"/>
  <c r="J879" i="8"/>
  <c r="J880" i="8"/>
  <c r="J881" i="8"/>
  <c r="J882" i="8"/>
  <c r="J883" i="8"/>
  <c r="J884" i="8"/>
  <c r="J885" i="8"/>
  <c r="J886" i="8"/>
  <c r="J887" i="8"/>
  <c r="J888" i="8"/>
  <c r="J889" i="8"/>
  <c r="J890" i="8"/>
  <c r="J891" i="8"/>
  <c r="J892" i="8"/>
  <c r="J893" i="8"/>
  <c r="J894" i="8"/>
  <c r="J895" i="8"/>
  <c r="J896" i="8"/>
  <c r="J897" i="8"/>
  <c r="J898" i="8"/>
  <c r="J899" i="8"/>
  <c r="J900" i="8"/>
  <c r="J901" i="8"/>
  <c r="J902" i="8"/>
  <c r="J903" i="8"/>
  <c r="J904" i="8"/>
  <c r="J905" i="8"/>
  <c r="J906" i="8"/>
  <c r="J907" i="8"/>
  <c r="J908" i="8"/>
  <c r="J909" i="8"/>
  <c r="J910" i="8"/>
  <c r="J911" i="8"/>
  <c r="J912" i="8"/>
  <c r="J913" i="8"/>
  <c r="J914" i="8"/>
  <c r="J915" i="8"/>
  <c r="J916" i="8"/>
  <c r="J917" i="8"/>
  <c r="J918" i="8"/>
  <c r="J919" i="8"/>
  <c r="J920" i="8"/>
  <c r="J921" i="8"/>
  <c r="J922" i="8"/>
  <c r="J923" i="8"/>
  <c r="J924" i="8"/>
  <c r="J925" i="8"/>
  <c r="J926" i="8"/>
  <c r="J927" i="8"/>
  <c r="J928" i="8"/>
  <c r="J929" i="8"/>
  <c r="J930" i="8"/>
  <c r="J931" i="8"/>
  <c r="J932" i="8"/>
  <c r="J933" i="8"/>
  <c r="J934" i="8"/>
  <c r="J935" i="8"/>
  <c r="J936" i="8"/>
  <c r="J937" i="8"/>
  <c r="J938" i="8"/>
  <c r="J939" i="8"/>
  <c r="J940" i="8"/>
  <c r="J941" i="8"/>
  <c r="J942" i="8"/>
  <c r="J943" i="8"/>
  <c r="J944" i="8"/>
  <c r="J945" i="8"/>
  <c r="J946" i="8"/>
  <c r="J947" i="8"/>
  <c r="J948" i="8"/>
  <c r="J949" i="8"/>
  <c r="J950" i="8"/>
  <c r="J951" i="8"/>
  <c r="J952" i="8"/>
  <c r="J953" i="8"/>
  <c r="J954" i="8"/>
  <c r="J955" i="8"/>
  <c r="J956" i="8"/>
  <c r="J957" i="8"/>
  <c r="J958" i="8"/>
  <c r="J959" i="8"/>
  <c r="J960" i="8"/>
  <c r="J961" i="8"/>
  <c r="J962" i="8"/>
  <c r="J963" i="8"/>
  <c r="J964" i="8"/>
  <c r="J965" i="8"/>
  <c r="J966" i="8"/>
  <c r="J967" i="8"/>
  <c r="J968" i="8"/>
  <c r="J969" i="8"/>
  <c r="J970" i="8"/>
  <c r="J971" i="8"/>
  <c r="J972" i="8"/>
  <c r="J973" i="8"/>
  <c r="J974" i="8"/>
  <c r="J975" i="8"/>
  <c r="J976" i="8"/>
  <c r="J977" i="8"/>
  <c r="J978" i="8"/>
  <c r="J979" i="8"/>
  <c r="J980" i="8"/>
  <c r="J981" i="8"/>
  <c r="J982" i="8"/>
  <c r="J983" i="8"/>
  <c r="J985" i="8"/>
  <c r="J986" i="8"/>
  <c r="J987" i="8"/>
  <c r="J988" i="8"/>
  <c r="J989" i="8"/>
  <c r="J990" i="8"/>
  <c r="BZ37" i="11" l="1"/>
  <c r="BZ25" i="11"/>
  <c r="BZ17" i="11"/>
  <c r="BZ11" i="11"/>
  <c r="BZ27" i="11"/>
  <c r="BZ43" i="11"/>
  <c r="BZ35" i="11"/>
  <c r="BZ28" i="11"/>
  <c r="BZ33" i="11"/>
  <c r="BZ47" i="11"/>
  <c r="BZ45" i="11"/>
  <c r="BZ26" i="11"/>
  <c r="BZ12" i="11"/>
  <c r="BZ46" i="11"/>
  <c r="BZ42" i="11"/>
  <c r="BZ22" i="11"/>
  <c r="BZ14" i="11"/>
  <c r="BZ38" i="11"/>
  <c r="BY3" i="11"/>
  <c r="BZ41" i="11"/>
  <c r="BZ36" i="11"/>
  <c r="BZ16" i="11"/>
  <c r="BZ29" i="11"/>
  <c r="BZ21" i="11"/>
  <c r="BZ13" i="11"/>
  <c r="BZ32" i="11"/>
  <c r="BZ24" i="11"/>
  <c r="BZ44" i="11"/>
  <c r="BZ39" i="11"/>
  <c r="BZ31" i="11"/>
  <c r="BZ15" i="11"/>
  <c r="BZ48" i="11"/>
  <c r="BZ34" i="11"/>
  <c r="BT3" i="11"/>
  <c r="H8" i="11"/>
  <c r="S8" i="11"/>
  <c r="U8" i="11" s="1"/>
  <c r="T8" i="11"/>
  <c r="BK8" i="11"/>
  <c r="BX8" i="11"/>
  <c r="BE8" i="11"/>
  <c r="BD8" i="11"/>
  <c r="BC8" i="11"/>
  <c r="BB8" i="11"/>
  <c r="AC8" i="11"/>
  <c r="O8" i="11"/>
  <c r="BX9" i="11"/>
  <c r="BZ9" i="11" s="1"/>
  <c r="BK9" i="11"/>
  <c r="BJ8" i="11"/>
  <c r="BS8" i="11"/>
  <c r="BK15" i="11"/>
  <c r="BK14" i="11"/>
  <c r="BK13" i="11"/>
  <c r="BK12" i="11"/>
  <c r="BK11" i="11"/>
  <c r="BZ8" i="11" l="1"/>
  <c r="BK16" i="11"/>
  <c r="BK10" i="11"/>
  <c r="BK17" i="11"/>
  <c r="BK18" i="11"/>
  <c r="BK19" i="11"/>
  <c r="BK20" i="11"/>
  <c r="BK21" i="11"/>
  <c r="BK22" i="11"/>
  <c r="BK23" i="11"/>
  <c r="BK24" i="11"/>
  <c r="BK25" i="11"/>
  <c r="BK26" i="11"/>
  <c r="BK27" i="11"/>
  <c r="BK28" i="11"/>
  <c r="BK29" i="11"/>
  <c r="BK30" i="11"/>
  <c r="BK31" i="11"/>
  <c r="BK32" i="11"/>
  <c r="BK33" i="11"/>
  <c r="BK34" i="11"/>
  <c r="BK35" i="11"/>
  <c r="BK36" i="11"/>
  <c r="BK37" i="11"/>
  <c r="BK38" i="11"/>
  <c r="BK39" i="11"/>
  <c r="BK40" i="11"/>
  <c r="BK41" i="11"/>
  <c r="BK42" i="11"/>
  <c r="BK43" i="11"/>
  <c r="BK44" i="11"/>
  <c r="BK45" i="11"/>
  <c r="BK46" i="11"/>
  <c r="BK47" i="11"/>
  <c r="BK48" i="11"/>
  <c r="BK49" i="11"/>
  <c r="BL13" i="11" l="1"/>
  <c r="AO49" i="11"/>
  <c r="AO48" i="11"/>
  <c r="AO47" i="11"/>
  <c r="AO46" i="11"/>
  <c r="AO45" i="11"/>
  <c r="AO44" i="11"/>
  <c r="AO43" i="11"/>
  <c r="AO42" i="11"/>
  <c r="AO41" i="11"/>
  <c r="AO40" i="11"/>
  <c r="AO39" i="11"/>
  <c r="AO38" i="11"/>
  <c r="AO37" i="11"/>
  <c r="AO36" i="11"/>
  <c r="AO35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3" i="11" l="1"/>
  <c r="G5" i="8"/>
  <c r="G380" i="8" l="1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24" i="8" l="1"/>
  <c r="G23" i="8"/>
  <c r="G22" i="8"/>
  <c r="G21" i="8"/>
  <c r="G20" i="8"/>
  <c r="G19" i="8"/>
  <c r="G18" i="8"/>
  <c r="G17" i="8"/>
  <c r="G16" i="8"/>
  <c r="G15" i="8"/>
  <c r="G14" i="8"/>
  <c r="G6" i="8"/>
  <c r="G7" i="8"/>
  <c r="G8" i="8"/>
  <c r="G9" i="8"/>
  <c r="G11" i="8"/>
  <c r="G12" i="8"/>
  <c r="G13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BL20" i="11" l="1"/>
  <c r="BM20" i="11" s="1"/>
  <c r="BN20" i="11" s="1"/>
  <c r="BL21" i="11"/>
  <c r="BM21" i="11" s="1"/>
  <c r="BN21" i="11" s="1"/>
  <c r="BL22" i="11"/>
  <c r="BM22" i="11" s="1"/>
  <c r="BN22" i="11" s="1"/>
  <c r="BL23" i="11"/>
  <c r="BM23" i="11" s="1"/>
  <c r="BN23" i="11" s="1"/>
  <c r="BL24" i="11"/>
  <c r="BM24" i="11" s="1"/>
  <c r="BN24" i="11" s="1"/>
  <c r="BL25" i="11"/>
  <c r="BM25" i="11" s="1"/>
  <c r="BN25" i="11" s="1"/>
  <c r="BL26" i="11"/>
  <c r="BM26" i="11" s="1"/>
  <c r="BN26" i="11" s="1"/>
  <c r="BL27" i="11"/>
  <c r="BM27" i="11" s="1"/>
  <c r="BN27" i="11" s="1"/>
  <c r="BL28" i="11"/>
  <c r="BM28" i="11" s="1"/>
  <c r="BN28" i="11" s="1"/>
  <c r="BL29" i="11"/>
  <c r="BM29" i="11" s="1"/>
  <c r="BN29" i="11" s="1"/>
  <c r="BL30" i="11"/>
  <c r="BM30" i="11" s="1"/>
  <c r="BN30" i="11" s="1"/>
  <c r="BL35" i="11"/>
  <c r="BM35" i="11" s="1"/>
  <c r="BN35" i="11" s="1"/>
  <c r="BL36" i="11"/>
  <c r="BM36" i="11" s="1"/>
  <c r="BN36" i="11" s="1"/>
  <c r="BL37" i="11"/>
  <c r="BM37" i="11" s="1"/>
  <c r="BN37" i="11" s="1"/>
  <c r="BL38" i="11"/>
  <c r="BM38" i="11" s="1"/>
  <c r="BN38" i="11" s="1"/>
  <c r="BL39" i="11"/>
  <c r="BM39" i="11" s="1"/>
  <c r="BN39" i="11" s="1"/>
  <c r="BL40" i="11"/>
  <c r="BM40" i="11" s="1"/>
  <c r="BN40" i="11" s="1"/>
  <c r="BL41" i="11"/>
  <c r="BM41" i="11" s="1"/>
  <c r="BN41" i="11" s="1"/>
  <c r="BL44" i="11"/>
  <c r="BM44" i="11" s="1"/>
  <c r="BN44" i="11" s="1"/>
  <c r="BL45" i="11"/>
  <c r="BM45" i="11" s="1"/>
  <c r="BN45" i="11" s="1"/>
  <c r="BO20" i="11" l="1"/>
  <c r="BL48" i="11"/>
  <c r="BM48" i="11" s="1"/>
  <c r="BN48" i="11" s="1"/>
  <c r="BL46" i="11"/>
  <c r="BM46" i="11" s="1"/>
  <c r="BN46" i="11" s="1"/>
  <c r="BO45" i="11"/>
  <c r="BO44" i="11"/>
  <c r="BL42" i="11"/>
  <c r="BM42" i="11" s="1"/>
  <c r="BN42" i="11" s="1"/>
  <c r="BL34" i="11"/>
  <c r="BM34" i="11" s="1"/>
  <c r="BN34" i="11" s="1"/>
  <c r="BL32" i="11"/>
  <c r="BM32" i="11" s="1"/>
  <c r="BN32" i="11" s="1"/>
  <c r="BO30" i="11"/>
  <c r="BO29" i="11"/>
  <c r="BO28" i="11"/>
  <c r="BO27" i="11"/>
  <c r="BO26" i="11"/>
  <c r="BL19" i="11"/>
  <c r="BM19" i="11" s="1"/>
  <c r="BN19" i="11" s="1"/>
  <c r="BO19" i="11" s="1"/>
  <c r="BL17" i="11"/>
  <c r="BM17" i="11" s="1"/>
  <c r="BN17" i="11" s="1"/>
  <c r="BL15" i="11"/>
  <c r="BM15" i="11" s="1"/>
  <c r="BN15" i="11" s="1"/>
  <c r="BM13" i="11"/>
  <c r="BN13" i="11" s="1"/>
  <c r="BL11" i="11"/>
  <c r="BM11" i="11" s="1"/>
  <c r="BN11" i="11" s="1"/>
  <c r="BL9" i="11"/>
  <c r="BM9" i="11" s="1"/>
  <c r="BN9" i="11" s="1"/>
  <c r="BL49" i="11"/>
  <c r="BM49" i="11" s="1"/>
  <c r="BN49" i="11" s="1"/>
  <c r="BL47" i="11"/>
  <c r="BM47" i="11" s="1"/>
  <c r="BN47" i="11" s="1"/>
  <c r="BL43" i="11"/>
  <c r="BM43" i="11" s="1"/>
  <c r="BN43" i="11" s="1"/>
  <c r="BO41" i="11"/>
  <c r="BO40" i="11"/>
  <c r="BO39" i="11"/>
  <c r="BO38" i="11"/>
  <c r="BO37" i="11"/>
  <c r="BO36" i="11"/>
  <c r="BO35" i="11"/>
  <c r="BL33" i="11"/>
  <c r="BM33" i="11" s="1"/>
  <c r="BN33" i="11" s="1"/>
  <c r="BL31" i="11"/>
  <c r="BM31" i="11" s="1"/>
  <c r="BN31" i="11" s="1"/>
  <c r="BO25" i="11"/>
  <c r="BO24" i="11"/>
  <c r="BO23" i="11"/>
  <c r="BO22" i="11"/>
  <c r="BO21" i="11"/>
  <c r="BL18" i="11"/>
  <c r="BM18" i="11" s="1"/>
  <c r="BN18" i="11" s="1"/>
  <c r="BL16" i="11"/>
  <c r="BM16" i="11" s="1"/>
  <c r="BN16" i="11" s="1"/>
  <c r="BL14" i="11"/>
  <c r="BM14" i="11" s="1"/>
  <c r="BN14" i="11" s="1"/>
  <c r="BL12" i="11"/>
  <c r="BM12" i="11" s="1"/>
  <c r="BN12" i="11" s="1"/>
  <c r="BL10" i="11"/>
  <c r="BM10" i="11" s="1"/>
  <c r="BN10" i="11" s="1"/>
  <c r="BO31" i="11" l="1"/>
  <c r="BO33" i="11"/>
  <c r="BO10" i="11"/>
  <c r="BO12" i="11"/>
  <c r="BO14" i="11"/>
  <c r="BO16" i="11"/>
  <c r="BO18" i="11"/>
  <c r="BO43" i="11"/>
  <c r="BO47" i="11"/>
  <c r="BO49" i="11"/>
  <c r="BO32" i="11"/>
  <c r="BO34" i="11"/>
  <c r="BO42" i="11"/>
  <c r="BO46" i="11"/>
  <c r="BO48" i="11"/>
  <c r="BO9" i="11"/>
  <c r="BO11" i="11"/>
  <c r="BO13" i="11"/>
  <c r="BO15" i="11"/>
  <c r="BO17" i="11"/>
  <c r="B380" i="8" l="1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5" i="8"/>
  <c r="B6" i="8"/>
  <c r="B7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V8" i="11" l="1"/>
  <c r="V7" i="11"/>
  <c r="W7" i="11" s="1"/>
  <c r="W8" i="11" l="1"/>
  <c r="BH7" i="11" l="1"/>
  <c r="B8" i="11" l="1"/>
  <c r="C8" i="11"/>
  <c r="BH8" i="11"/>
  <c r="BG8" i="11"/>
  <c r="A9" i="11"/>
  <c r="H9" i="11" l="1"/>
  <c r="T9" i="11"/>
  <c r="S9" i="11"/>
  <c r="U9" i="11" s="1"/>
  <c r="C41" i="8"/>
  <c r="C40" i="8"/>
  <c r="D40" i="8"/>
  <c r="D41" i="8"/>
  <c r="BE9" i="11"/>
  <c r="BB9" i="11"/>
  <c r="BD9" i="11"/>
  <c r="BC9" i="11"/>
  <c r="AC9" i="11"/>
  <c r="O9" i="11"/>
  <c r="BS9" i="11"/>
  <c r="BJ9" i="11"/>
  <c r="C9" i="11"/>
  <c r="B9" i="11"/>
  <c r="BH9" i="11"/>
  <c r="BG9" i="11"/>
  <c r="A10" i="11"/>
  <c r="H10" i="11" l="1"/>
  <c r="T10" i="11"/>
  <c r="S10" i="11"/>
  <c r="BP9" i="11"/>
  <c r="BE10" i="11"/>
  <c r="BD10" i="11"/>
  <c r="BC10" i="11"/>
  <c r="BB10" i="11"/>
  <c r="AC10" i="11"/>
  <c r="O10" i="11"/>
  <c r="BS10" i="11"/>
  <c r="BJ10" i="11"/>
  <c r="BL8" i="11"/>
  <c r="V9" i="11"/>
  <c r="C10" i="11"/>
  <c r="B10" i="11"/>
  <c r="BH10" i="11"/>
  <c r="BP10" i="11" s="1"/>
  <c r="BG10" i="11"/>
  <c r="A11" i="11"/>
  <c r="C7" i="12"/>
  <c r="C6" i="12"/>
  <c r="H11" i="11" l="1"/>
  <c r="S11" i="11"/>
  <c r="T11" i="11"/>
  <c r="BM8" i="11"/>
  <c r="BE11" i="11"/>
  <c r="BD11" i="11"/>
  <c r="BC11" i="11"/>
  <c r="BB11" i="11"/>
  <c r="AC11" i="11"/>
  <c r="O11" i="11"/>
  <c r="BS11" i="11"/>
  <c r="BJ11" i="11"/>
  <c r="U10" i="11"/>
  <c r="V10" i="11"/>
  <c r="W9" i="11"/>
  <c r="C11" i="11"/>
  <c r="BH11" i="11"/>
  <c r="BP11" i="11" s="1"/>
  <c r="BG11" i="11"/>
  <c r="B11" i="11"/>
  <c r="A12" i="11"/>
  <c r="H12" i="11" l="1"/>
  <c r="S12" i="11"/>
  <c r="T12" i="11"/>
  <c r="BN8" i="11"/>
  <c r="BG12" i="11"/>
  <c r="BE12" i="11"/>
  <c r="BD12" i="11"/>
  <c r="BC12" i="11"/>
  <c r="BB12" i="11"/>
  <c r="AC12" i="11"/>
  <c r="O12" i="11"/>
  <c r="BS12" i="11"/>
  <c r="BJ12" i="11"/>
  <c r="W10" i="11"/>
  <c r="U11" i="11"/>
  <c r="V11" i="11"/>
  <c r="C12" i="11"/>
  <c r="BH12" i="11"/>
  <c r="BP12" i="11" s="1"/>
  <c r="B12" i="11"/>
  <c r="A13" i="11"/>
  <c r="H13" i="11" l="1"/>
  <c r="T13" i="11"/>
  <c r="S13" i="11"/>
  <c r="BO8" i="11"/>
  <c r="BE13" i="11"/>
  <c r="BD13" i="11"/>
  <c r="BC13" i="11"/>
  <c r="BB13" i="11"/>
  <c r="AC13" i="11"/>
  <c r="O13" i="11"/>
  <c r="BS13" i="11"/>
  <c r="BJ13" i="11"/>
  <c r="V12" i="11"/>
  <c r="U12" i="11"/>
  <c r="W11" i="11"/>
  <c r="C13" i="11"/>
  <c r="BH13" i="11"/>
  <c r="BP13" i="11" s="1"/>
  <c r="BG13" i="11"/>
  <c r="B13" i="11"/>
  <c r="A14" i="11"/>
  <c r="H14" i="11" l="1"/>
  <c r="S14" i="11"/>
  <c r="T14" i="11"/>
  <c r="BP8" i="11"/>
  <c r="BE14" i="11"/>
  <c r="BD14" i="11"/>
  <c r="BC14" i="11"/>
  <c r="BB14" i="11"/>
  <c r="AC14" i="11"/>
  <c r="O14" i="11"/>
  <c r="BS14" i="11"/>
  <c r="BJ14" i="11"/>
  <c r="W12" i="11"/>
  <c r="V13" i="11"/>
  <c r="U13" i="11"/>
  <c r="C14" i="11"/>
  <c r="BH14" i="11"/>
  <c r="BP14" i="11" s="1"/>
  <c r="BG14" i="11"/>
  <c r="B14" i="11"/>
  <c r="A15" i="11"/>
  <c r="H15" i="11" l="1"/>
  <c r="T15" i="11"/>
  <c r="S15" i="11"/>
  <c r="BE15" i="11"/>
  <c r="BD15" i="11"/>
  <c r="BC15" i="11"/>
  <c r="BB15" i="11"/>
  <c r="AC15" i="11"/>
  <c r="O15" i="11"/>
  <c r="BS15" i="11"/>
  <c r="BJ15" i="11"/>
  <c r="W13" i="11"/>
  <c r="V14" i="11"/>
  <c r="U14" i="11"/>
  <c r="C15" i="11"/>
  <c r="BH15" i="11"/>
  <c r="BP15" i="11" s="1"/>
  <c r="BG15" i="11"/>
  <c r="B15" i="11"/>
  <c r="A16" i="11"/>
  <c r="H16" i="11" l="1"/>
  <c r="T16" i="11"/>
  <c r="S16" i="11"/>
  <c r="BE16" i="11"/>
  <c r="BD16" i="11"/>
  <c r="BC16" i="11"/>
  <c r="BB16" i="11"/>
  <c r="AC16" i="11"/>
  <c r="O16" i="11"/>
  <c r="BJ16" i="11"/>
  <c r="BS16" i="11"/>
  <c r="W14" i="11"/>
  <c r="V15" i="11"/>
  <c r="U15" i="11"/>
  <c r="C16" i="11"/>
  <c r="BH16" i="11"/>
  <c r="BP16" i="11" s="1"/>
  <c r="BG16" i="11"/>
  <c r="B16" i="11"/>
  <c r="A17" i="11"/>
  <c r="H17" i="11" l="1"/>
  <c r="BE17" i="11"/>
  <c r="BD17" i="11"/>
  <c r="BC17" i="11"/>
  <c r="BB17" i="11"/>
  <c r="AC17" i="11"/>
  <c r="O17" i="11"/>
  <c r="BJ17" i="11"/>
  <c r="BS17" i="11"/>
  <c r="W15" i="11"/>
  <c r="V16" i="11"/>
  <c r="U16" i="11"/>
  <c r="C17" i="11"/>
  <c r="BH17" i="11"/>
  <c r="BP17" i="11" s="1"/>
  <c r="BG17" i="11"/>
  <c r="B17" i="11"/>
  <c r="A18" i="11"/>
  <c r="H18" i="11" l="1"/>
  <c r="S18" i="11"/>
  <c r="T18" i="11"/>
  <c r="BE18" i="11"/>
  <c r="BD18" i="11"/>
  <c r="BC18" i="11"/>
  <c r="BB18" i="11"/>
  <c r="AC18" i="11"/>
  <c r="O18" i="11"/>
  <c r="W16" i="11"/>
  <c r="BJ18" i="11"/>
  <c r="BS18" i="11"/>
  <c r="V17" i="11"/>
  <c r="U17" i="11"/>
  <c r="C18" i="11"/>
  <c r="BH18" i="11"/>
  <c r="BP18" i="11" s="1"/>
  <c r="BG18" i="11"/>
  <c r="B18" i="11"/>
  <c r="A19" i="11"/>
  <c r="H19" i="11" l="1"/>
  <c r="T19" i="11"/>
  <c r="S19" i="11"/>
  <c r="BE19" i="11"/>
  <c r="BD19" i="11"/>
  <c r="BC19" i="11"/>
  <c r="BB19" i="11"/>
  <c r="AC19" i="11"/>
  <c r="O19" i="11"/>
  <c r="BJ19" i="11"/>
  <c r="BS19" i="11"/>
  <c r="W17" i="11"/>
  <c r="V18" i="11"/>
  <c r="U18" i="11"/>
  <c r="C19" i="11"/>
  <c r="BH19" i="11"/>
  <c r="BP19" i="11" s="1"/>
  <c r="BG19" i="11"/>
  <c r="B19" i="11"/>
  <c r="A20" i="11"/>
  <c r="H20" i="11" s="1"/>
  <c r="BE20" i="11" l="1"/>
  <c r="BD20" i="11"/>
  <c r="BC20" i="11"/>
  <c r="BB20" i="11"/>
  <c r="AC20" i="11"/>
  <c r="O20" i="11"/>
  <c r="BJ20" i="11"/>
  <c r="BS20" i="11"/>
  <c r="W18" i="11"/>
  <c r="V19" i="11"/>
  <c r="U19" i="11"/>
  <c r="C20" i="11"/>
  <c r="BH20" i="11"/>
  <c r="BP20" i="11" s="1"/>
  <c r="BG20" i="11"/>
  <c r="B20" i="11"/>
  <c r="A21" i="11"/>
  <c r="H21" i="11" l="1"/>
  <c r="S21" i="11"/>
  <c r="T21" i="11"/>
  <c r="BE21" i="11"/>
  <c r="BD21" i="11"/>
  <c r="BC21" i="11"/>
  <c r="BB21" i="11"/>
  <c r="AC21" i="11"/>
  <c r="O21" i="11"/>
  <c r="BJ21" i="11"/>
  <c r="BS21" i="11"/>
  <c r="W19" i="11"/>
  <c r="V20" i="11"/>
  <c r="U20" i="11"/>
  <c r="C21" i="11"/>
  <c r="BH21" i="11"/>
  <c r="BP21" i="11" s="1"/>
  <c r="BG21" i="11"/>
  <c r="B21" i="11"/>
  <c r="A22" i="11"/>
  <c r="H22" i="11" l="1"/>
  <c r="T22" i="11"/>
  <c r="S22" i="11"/>
  <c r="BE22" i="11"/>
  <c r="BD22" i="11"/>
  <c r="BC22" i="11"/>
  <c r="BB22" i="11"/>
  <c r="AC22" i="11"/>
  <c r="O22" i="11"/>
  <c r="BJ22" i="11"/>
  <c r="BS22" i="11"/>
  <c r="W20" i="11"/>
  <c r="V21" i="11"/>
  <c r="U21" i="11"/>
  <c r="C22" i="11"/>
  <c r="BH22" i="11"/>
  <c r="BP22" i="11" s="1"/>
  <c r="BG22" i="11"/>
  <c r="B22" i="11"/>
  <c r="A23" i="11"/>
  <c r="H23" i="11" s="1"/>
  <c r="BE23" i="11" l="1"/>
  <c r="BD23" i="11"/>
  <c r="BC23" i="11"/>
  <c r="BB23" i="11"/>
  <c r="AC23" i="11"/>
  <c r="O23" i="11"/>
  <c r="BJ23" i="11"/>
  <c r="BS23" i="11"/>
  <c r="W21" i="11"/>
  <c r="V22" i="11"/>
  <c r="U22" i="11"/>
  <c r="C23" i="11"/>
  <c r="BH23" i="11"/>
  <c r="BP23" i="11" s="1"/>
  <c r="BG23" i="11"/>
  <c r="B23" i="11"/>
  <c r="A24" i="11"/>
  <c r="H24" i="11" l="1"/>
  <c r="T24" i="11"/>
  <c r="S24" i="11"/>
  <c r="BE24" i="11"/>
  <c r="BD24" i="11"/>
  <c r="BC24" i="11"/>
  <c r="BB24" i="11"/>
  <c r="AC24" i="11"/>
  <c r="O24" i="11"/>
  <c r="W22" i="11"/>
  <c r="BJ24" i="11"/>
  <c r="BS24" i="11"/>
  <c r="V23" i="11"/>
  <c r="U23" i="11"/>
  <c r="C24" i="11"/>
  <c r="BH24" i="11"/>
  <c r="BP24" i="11" s="1"/>
  <c r="BG24" i="11"/>
  <c r="B24" i="11"/>
  <c r="A25" i="11"/>
  <c r="H25" i="11" l="1"/>
  <c r="S25" i="11"/>
  <c r="T25" i="11"/>
  <c r="BE25" i="11"/>
  <c r="BD25" i="11"/>
  <c r="BC25" i="11"/>
  <c r="BB25" i="11"/>
  <c r="AC25" i="11"/>
  <c r="O25" i="11"/>
  <c r="BJ25" i="11"/>
  <c r="BS25" i="11"/>
  <c r="W23" i="11"/>
  <c r="V24" i="11"/>
  <c r="U24" i="11"/>
  <c r="C25" i="11"/>
  <c r="BH25" i="11"/>
  <c r="BP25" i="11" s="1"/>
  <c r="BG25" i="11"/>
  <c r="B25" i="11"/>
  <c r="A26" i="11"/>
  <c r="H26" i="11" l="1"/>
  <c r="S26" i="11"/>
  <c r="T26" i="11"/>
  <c r="BE26" i="11"/>
  <c r="BD26" i="11"/>
  <c r="BC26" i="11"/>
  <c r="BB26" i="11"/>
  <c r="AC26" i="11"/>
  <c r="O26" i="11"/>
  <c r="W24" i="11"/>
  <c r="BJ26" i="11"/>
  <c r="BS26" i="11"/>
  <c r="V25" i="11"/>
  <c r="U25" i="11"/>
  <c r="C26" i="11"/>
  <c r="BH26" i="11"/>
  <c r="BP26" i="11" s="1"/>
  <c r="BG26" i="11"/>
  <c r="B26" i="11"/>
  <c r="A27" i="11"/>
  <c r="H27" i="11" l="1"/>
  <c r="T27" i="11"/>
  <c r="S27" i="11"/>
  <c r="BE27" i="11"/>
  <c r="BD27" i="11"/>
  <c r="BC27" i="11"/>
  <c r="BB27" i="11"/>
  <c r="AC27" i="11"/>
  <c r="O27" i="11"/>
  <c r="BJ27" i="11"/>
  <c r="BS27" i="11"/>
  <c r="W25" i="11"/>
  <c r="V26" i="11"/>
  <c r="U26" i="11"/>
  <c r="C27" i="11"/>
  <c r="BH27" i="11"/>
  <c r="BP27" i="11" s="1"/>
  <c r="BG27" i="11"/>
  <c r="B27" i="11"/>
  <c r="A28" i="11"/>
  <c r="H28" i="11" l="1"/>
  <c r="T28" i="11"/>
  <c r="S28" i="11"/>
  <c r="BE28" i="11"/>
  <c r="BD28" i="11"/>
  <c r="BC28" i="11"/>
  <c r="BB28" i="11"/>
  <c r="AC28" i="11"/>
  <c r="O28" i="11"/>
  <c r="BJ28" i="11"/>
  <c r="BS28" i="11"/>
  <c r="W26" i="11"/>
  <c r="V27" i="11"/>
  <c r="U27" i="11"/>
  <c r="C28" i="11"/>
  <c r="BH28" i="11"/>
  <c r="BP28" i="11" s="1"/>
  <c r="BG28" i="11"/>
  <c r="B28" i="11"/>
  <c r="A29" i="11"/>
  <c r="H29" i="11" l="1"/>
  <c r="S29" i="11"/>
  <c r="T29" i="11"/>
  <c r="BE29" i="11"/>
  <c r="BD29" i="11"/>
  <c r="BC29" i="11"/>
  <c r="BB29" i="11"/>
  <c r="AC29" i="11"/>
  <c r="O29" i="11"/>
  <c r="BJ29" i="11"/>
  <c r="BS29" i="11"/>
  <c r="W27" i="11"/>
  <c r="V28" i="11"/>
  <c r="U28" i="11"/>
  <c r="C29" i="11"/>
  <c r="BH29" i="11"/>
  <c r="BP29" i="11" s="1"/>
  <c r="BG29" i="11"/>
  <c r="B29" i="11"/>
  <c r="A30" i="11"/>
  <c r="H30" i="11" l="1"/>
  <c r="S30" i="11"/>
  <c r="T30" i="11"/>
  <c r="BE30" i="11"/>
  <c r="BD30" i="11"/>
  <c r="BC30" i="11"/>
  <c r="BB30" i="11"/>
  <c r="AC30" i="11"/>
  <c r="O30" i="11"/>
  <c r="BJ30" i="11"/>
  <c r="BS30" i="11"/>
  <c r="W28" i="11"/>
  <c r="V29" i="11"/>
  <c r="U29" i="11"/>
  <c r="C30" i="11"/>
  <c r="BH30" i="11"/>
  <c r="BP30" i="11" s="1"/>
  <c r="BG30" i="11"/>
  <c r="B30" i="11"/>
  <c r="A31" i="11"/>
  <c r="H31" i="11" l="1"/>
  <c r="T31" i="11"/>
  <c r="S31" i="11"/>
  <c r="BE31" i="11"/>
  <c r="BD31" i="11"/>
  <c r="BC31" i="11"/>
  <c r="BB31" i="11"/>
  <c r="AC31" i="11"/>
  <c r="O31" i="11"/>
  <c r="BJ31" i="11"/>
  <c r="BS31" i="11"/>
  <c r="W29" i="11"/>
  <c r="V30" i="11"/>
  <c r="U30" i="11"/>
  <c r="C31" i="11"/>
  <c r="BH31" i="11"/>
  <c r="BP31" i="11" s="1"/>
  <c r="BG31" i="11"/>
  <c r="B31" i="11"/>
  <c r="A32" i="11"/>
  <c r="H32" i="11" l="1"/>
  <c r="S32" i="11"/>
  <c r="T32" i="11"/>
  <c r="BE32" i="11"/>
  <c r="BD32" i="11"/>
  <c r="BC32" i="11"/>
  <c r="BB32" i="11"/>
  <c r="AC32" i="11"/>
  <c r="O32" i="11"/>
  <c r="BJ32" i="11"/>
  <c r="BS32" i="11"/>
  <c r="W30" i="11"/>
  <c r="V31" i="11"/>
  <c r="U31" i="11"/>
  <c r="C32" i="11"/>
  <c r="BH32" i="11"/>
  <c r="BP32" i="11" s="1"/>
  <c r="BG32" i="11"/>
  <c r="B32" i="11"/>
  <c r="A33" i="11"/>
  <c r="H33" i="11" l="1"/>
  <c r="S33" i="11"/>
  <c r="T33" i="11"/>
  <c r="BE33" i="11"/>
  <c r="BD33" i="11"/>
  <c r="BC33" i="11"/>
  <c r="BB33" i="11"/>
  <c r="AC33" i="11"/>
  <c r="O33" i="11"/>
  <c r="BJ33" i="11"/>
  <c r="BS33" i="11"/>
  <c r="W31" i="11"/>
  <c r="V32" i="11"/>
  <c r="U32" i="11"/>
  <c r="C33" i="11"/>
  <c r="BH33" i="11"/>
  <c r="BP33" i="11" s="1"/>
  <c r="BG33" i="11"/>
  <c r="B33" i="11"/>
  <c r="A34" i="11"/>
  <c r="H34" i="11" l="1"/>
  <c r="T34" i="11"/>
  <c r="S34" i="11"/>
  <c r="BE34" i="11"/>
  <c r="BD34" i="11"/>
  <c r="BC34" i="11"/>
  <c r="BB34" i="11"/>
  <c r="AC34" i="11"/>
  <c r="O34" i="11"/>
  <c r="BJ34" i="11"/>
  <c r="BS34" i="11"/>
  <c r="W32" i="11"/>
  <c r="V33" i="11"/>
  <c r="U33" i="11"/>
  <c r="C34" i="11"/>
  <c r="BH34" i="11"/>
  <c r="BP34" i="11" s="1"/>
  <c r="BG34" i="11"/>
  <c r="B34" i="11"/>
  <c r="A35" i="11"/>
  <c r="H35" i="11" l="1"/>
  <c r="S35" i="11"/>
  <c r="T35" i="11"/>
  <c r="BE35" i="11"/>
  <c r="BD35" i="11"/>
  <c r="BC35" i="11"/>
  <c r="BB35" i="11"/>
  <c r="AC35" i="11"/>
  <c r="O35" i="11"/>
  <c r="BJ35" i="11"/>
  <c r="BS35" i="11"/>
  <c r="W33" i="11"/>
  <c r="V34" i="11"/>
  <c r="U34" i="11"/>
  <c r="C35" i="11"/>
  <c r="BH35" i="11"/>
  <c r="BP35" i="11" s="1"/>
  <c r="BG35" i="11"/>
  <c r="B35" i="11"/>
  <c r="A36" i="11"/>
  <c r="H36" i="11" l="1"/>
  <c r="S36" i="11"/>
  <c r="T36" i="11"/>
  <c r="BE36" i="11"/>
  <c r="BD36" i="11"/>
  <c r="BC36" i="11"/>
  <c r="BB36" i="11"/>
  <c r="AC36" i="11"/>
  <c r="O36" i="11"/>
  <c r="BJ36" i="11"/>
  <c r="BS36" i="11"/>
  <c r="W34" i="11"/>
  <c r="V35" i="11"/>
  <c r="U35" i="11"/>
  <c r="C36" i="11"/>
  <c r="BH36" i="11"/>
  <c r="BP36" i="11" s="1"/>
  <c r="BG36" i="11"/>
  <c r="B36" i="11"/>
  <c r="A37" i="11"/>
  <c r="H37" i="11" l="1"/>
  <c r="T37" i="11"/>
  <c r="S37" i="11"/>
  <c r="BE37" i="11"/>
  <c r="BD37" i="11"/>
  <c r="BC37" i="11"/>
  <c r="BB37" i="11"/>
  <c r="AC37" i="11"/>
  <c r="O37" i="11"/>
  <c r="BJ37" i="11"/>
  <c r="BS37" i="11"/>
  <c r="W35" i="11"/>
  <c r="V36" i="11"/>
  <c r="U36" i="11"/>
  <c r="C37" i="11"/>
  <c r="BH37" i="11"/>
  <c r="BP37" i="11" s="1"/>
  <c r="BG37" i="11"/>
  <c r="B37" i="11"/>
  <c r="A38" i="11"/>
  <c r="H38" i="11" l="1"/>
  <c r="T38" i="11"/>
  <c r="S38" i="11"/>
  <c r="BE38" i="11"/>
  <c r="BD38" i="11"/>
  <c r="BC38" i="11"/>
  <c r="BB38" i="11"/>
  <c r="AC38" i="11"/>
  <c r="O38" i="11"/>
  <c r="BJ38" i="11"/>
  <c r="BS38" i="11"/>
  <c r="W36" i="11"/>
  <c r="V37" i="11"/>
  <c r="U37" i="11"/>
  <c r="C38" i="11"/>
  <c r="BH38" i="11"/>
  <c r="BP38" i="11" s="1"/>
  <c r="BG38" i="11"/>
  <c r="B38" i="11"/>
  <c r="A39" i="11"/>
  <c r="H39" i="11" l="1"/>
  <c r="S39" i="11"/>
  <c r="T39" i="11"/>
  <c r="BE39" i="11"/>
  <c r="BD39" i="11"/>
  <c r="BC39" i="11"/>
  <c r="BB39" i="11"/>
  <c r="AC39" i="11"/>
  <c r="O39" i="11"/>
  <c r="BJ39" i="11"/>
  <c r="BS39" i="11"/>
  <c r="W37" i="11"/>
  <c r="V38" i="11"/>
  <c r="U38" i="11"/>
  <c r="C39" i="11"/>
  <c r="BH39" i="11"/>
  <c r="BP39" i="11" s="1"/>
  <c r="BG39" i="11"/>
  <c r="B39" i="11"/>
  <c r="A40" i="11"/>
  <c r="H40" i="11" l="1"/>
  <c r="S40" i="11"/>
  <c r="T40" i="11"/>
  <c r="BE40" i="11"/>
  <c r="BD40" i="11"/>
  <c r="BC40" i="11"/>
  <c r="BB40" i="11"/>
  <c r="AC40" i="11"/>
  <c r="O40" i="11"/>
  <c r="BJ40" i="11"/>
  <c r="BS40" i="11"/>
  <c r="W38" i="11"/>
  <c r="V39" i="11"/>
  <c r="U39" i="11"/>
  <c r="C40" i="11"/>
  <c r="BH40" i="11"/>
  <c r="BP40" i="11" s="1"/>
  <c r="BG40" i="11"/>
  <c r="B40" i="11"/>
  <c r="A41" i="11"/>
  <c r="H41" i="11" l="1"/>
  <c r="S41" i="11"/>
  <c r="T41" i="11"/>
  <c r="BE41" i="11"/>
  <c r="BD41" i="11"/>
  <c r="BC41" i="11"/>
  <c r="BB41" i="11"/>
  <c r="AC41" i="11"/>
  <c r="O41" i="11"/>
  <c r="BJ41" i="11"/>
  <c r="BS41" i="11"/>
  <c r="W39" i="11"/>
  <c r="V40" i="11"/>
  <c r="U40" i="11"/>
  <c r="C41" i="11"/>
  <c r="BH41" i="11"/>
  <c r="BP41" i="11" s="1"/>
  <c r="BG41" i="11"/>
  <c r="B41" i="11"/>
  <c r="A42" i="11"/>
  <c r="H42" i="11" l="1"/>
  <c r="BE42" i="11"/>
  <c r="BD42" i="11"/>
  <c r="BC42" i="11"/>
  <c r="BB42" i="11"/>
  <c r="AC42" i="11"/>
  <c r="O42" i="11"/>
  <c r="BJ42" i="11"/>
  <c r="BS42" i="11"/>
  <c r="W40" i="11"/>
  <c r="V41" i="11"/>
  <c r="U41" i="11"/>
  <c r="C42" i="11"/>
  <c r="BH42" i="11"/>
  <c r="BP42" i="11" s="1"/>
  <c r="BG42" i="11"/>
  <c r="B42" i="11"/>
  <c r="A43" i="11"/>
  <c r="H43" i="11" l="1"/>
  <c r="S43" i="11"/>
  <c r="T43" i="11"/>
  <c r="BE43" i="11"/>
  <c r="BD43" i="11"/>
  <c r="BC43" i="11"/>
  <c r="BB43" i="11"/>
  <c r="AC43" i="11"/>
  <c r="O43" i="11"/>
  <c r="BJ43" i="11"/>
  <c r="BS43" i="11"/>
  <c r="W41" i="11"/>
  <c r="V42" i="11"/>
  <c r="U42" i="11"/>
  <c r="C43" i="11"/>
  <c r="BH43" i="11"/>
  <c r="BP43" i="11" s="1"/>
  <c r="BG43" i="11"/>
  <c r="B43" i="11"/>
  <c r="A44" i="11"/>
  <c r="A45" i="11" s="1"/>
  <c r="A46" i="11" s="1"/>
  <c r="C45" i="11" l="1"/>
  <c r="B45" i="11"/>
  <c r="H44" i="11"/>
  <c r="S44" i="11"/>
  <c r="T44" i="11"/>
  <c r="BE44" i="11"/>
  <c r="BD44" i="11"/>
  <c r="BC44" i="11"/>
  <c r="BB44" i="11"/>
  <c r="AC44" i="11"/>
  <c r="O44" i="11"/>
  <c r="BJ44" i="11"/>
  <c r="BS44" i="11"/>
  <c r="W42" i="11"/>
  <c r="V43" i="11"/>
  <c r="U43" i="11"/>
  <c r="C44" i="11"/>
  <c r="BH44" i="11"/>
  <c r="BP44" i="11" s="1"/>
  <c r="BG44" i="11"/>
  <c r="B44" i="11"/>
  <c r="W43" i="11" l="1"/>
  <c r="V44" i="11"/>
  <c r="U44" i="11"/>
  <c r="H45" i="11" l="1"/>
  <c r="BE45" i="11"/>
  <c r="BD45" i="11"/>
  <c r="BC45" i="11"/>
  <c r="BB45" i="11"/>
  <c r="AC45" i="11"/>
  <c r="O45" i="11"/>
  <c r="BJ45" i="11"/>
  <c r="BS45" i="11"/>
  <c r="W44" i="11"/>
  <c r="BH45" i="11"/>
  <c r="BP45" i="11" s="1"/>
  <c r="BG45" i="11"/>
  <c r="V45" i="11" l="1"/>
  <c r="U45" i="11"/>
  <c r="H46" i="11" l="1"/>
  <c r="BE46" i="11"/>
  <c r="BD46" i="11"/>
  <c r="BC46" i="11"/>
  <c r="BB46" i="11"/>
  <c r="AC46" i="11"/>
  <c r="O46" i="11"/>
  <c r="BJ46" i="11"/>
  <c r="BS46" i="11"/>
  <c r="W45" i="11"/>
  <c r="C46" i="11"/>
  <c r="BH46" i="11"/>
  <c r="BP46" i="11" s="1"/>
  <c r="BG46" i="11"/>
  <c r="B46" i="11"/>
  <c r="A47" i="11"/>
  <c r="H47" i="11" l="1"/>
  <c r="S47" i="11"/>
  <c r="T47" i="11"/>
  <c r="BE47" i="11"/>
  <c r="BD47" i="11"/>
  <c r="BC47" i="11"/>
  <c r="BB47" i="11"/>
  <c r="AC47" i="11"/>
  <c r="O47" i="11"/>
  <c r="BJ47" i="11"/>
  <c r="BS47" i="11"/>
  <c r="V46" i="11"/>
  <c r="U46" i="11"/>
  <c r="C47" i="11"/>
  <c r="BH47" i="11"/>
  <c r="BP47" i="11" s="1"/>
  <c r="BG47" i="11"/>
  <c r="B47" i="11"/>
  <c r="A48" i="11"/>
  <c r="BS48" i="11" s="1"/>
  <c r="H48" i="11" l="1"/>
  <c r="T48" i="11"/>
  <c r="S48" i="11"/>
  <c r="BE48" i="11"/>
  <c r="BD48" i="11"/>
  <c r="BC48" i="11"/>
  <c r="BB48" i="11"/>
  <c r="AC48" i="11"/>
  <c r="O48" i="11"/>
  <c r="BJ48" i="11"/>
  <c r="W46" i="11"/>
  <c r="V47" i="11"/>
  <c r="U47" i="11"/>
  <c r="C48" i="11"/>
  <c r="BH48" i="11"/>
  <c r="BP48" i="11" s="1"/>
  <c r="BG48" i="11"/>
  <c r="B48" i="11"/>
  <c r="A49" i="11"/>
  <c r="BS49" i="11" l="1"/>
  <c r="H49" i="11"/>
  <c r="S49" i="11"/>
  <c r="T49" i="11"/>
  <c r="BE49" i="11"/>
  <c r="BD49" i="11"/>
  <c r="BC49" i="11"/>
  <c r="BB49" i="11"/>
  <c r="AC49" i="11"/>
  <c r="O49" i="11"/>
  <c r="BJ49" i="11"/>
  <c r="W47" i="11"/>
  <c r="V48" i="11"/>
  <c r="U48" i="11"/>
  <c r="C49" i="11"/>
  <c r="BH49" i="11"/>
  <c r="BP49" i="11" s="1"/>
  <c r="BG49" i="11"/>
  <c r="B49" i="11"/>
  <c r="W48" i="11" l="1"/>
  <c r="V49" i="11"/>
  <c r="U49" i="11"/>
  <c r="W49" i="11" l="1"/>
  <c r="C43" i="8" l="1"/>
  <c r="C44" i="8"/>
  <c r="D43" i="8"/>
  <c r="D44" i="8"/>
  <c r="D42" i="8" l="1"/>
  <c r="A3" i="11"/>
  <c r="C42" i="8"/>
  <c r="BH3" i="11"/>
  <c r="BG3" i="11"/>
  <c r="C37" i="8" l="1"/>
  <c r="C13" i="8"/>
  <c r="C16" i="8"/>
  <c r="C4" i="8"/>
  <c r="C5" i="8"/>
  <c r="C17" i="8"/>
  <c r="C23" i="8"/>
  <c r="C6" i="8"/>
  <c r="C24" i="8"/>
  <c r="C15" i="8"/>
  <c r="C14" i="8"/>
  <c r="C21" i="8"/>
  <c r="C11" i="8"/>
  <c r="C7" i="8"/>
  <c r="C12" i="8"/>
  <c r="C8" i="8"/>
  <c r="C19" i="8"/>
  <c r="C28" i="8"/>
  <c r="C20" i="8"/>
  <c r="C32" i="8"/>
  <c r="C30" i="8"/>
  <c r="C35" i="8"/>
  <c r="C34" i="8"/>
  <c r="C22" i="8"/>
  <c r="C29" i="8"/>
  <c r="C26" i="8"/>
  <c r="C39" i="8"/>
  <c r="C38" i="8"/>
  <c r="C9" i="8"/>
  <c r="C27" i="8"/>
  <c r="C31" i="8"/>
  <c r="C36" i="8"/>
  <c r="C18" i="8"/>
  <c r="C10" i="8"/>
  <c r="C33" i="8"/>
  <c r="C25" i="8"/>
  <c r="C3" i="8"/>
  <c r="D5" i="8"/>
  <c r="D23" i="8"/>
  <c r="D30" i="8"/>
  <c r="D28" i="8"/>
  <c r="D33" i="8"/>
  <c r="D6" i="8"/>
  <c r="D17" i="8"/>
  <c r="D14" i="8"/>
  <c r="D19" i="8"/>
  <c r="D22" i="8"/>
  <c r="D9" i="8"/>
  <c r="D16" i="8"/>
  <c r="D25" i="8"/>
  <c r="D12" i="8"/>
  <c r="D21" i="8"/>
  <c r="D4" i="8"/>
  <c r="D13" i="8"/>
  <c r="D26" i="8"/>
  <c r="D24" i="8"/>
  <c r="D38" i="8"/>
  <c r="D36" i="8"/>
  <c r="D34" i="8"/>
  <c r="D31" i="8"/>
  <c r="D39" i="8"/>
  <c r="D8" i="8"/>
  <c r="D27" i="8"/>
  <c r="D3" i="8"/>
  <c r="D15" i="8"/>
  <c r="D10" i="8"/>
  <c r="D37" i="8"/>
  <c r="D29" i="8"/>
  <c r="D32" i="8"/>
  <c r="D11" i="8"/>
  <c r="D20" i="8"/>
  <c r="D7" i="8"/>
  <c r="D18" i="8"/>
  <c r="D35" i="8"/>
  <c r="BV3" i="11"/>
  <c r="BI7" i="11"/>
  <c r="BX7" i="11" s="1"/>
  <c r="BZ7" i="11" l="1"/>
  <c r="BX3" i="11"/>
  <c r="BZ3" i="11" s="1"/>
  <c r="BJ7" i="11"/>
  <c r="BI3" i="11"/>
  <c r="BJ3" i="11" s="1"/>
  <c r="BK7" i="11"/>
  <c r="BL7" i="11" s="1"/>
  <c r="BL3" i="11" s="1"/>
  <c r="BM7" i="11" l="1"/>
  <c r="BM3" i="11" s="1"/>
  <c r="BK3" i="11"/>
  <c r="BN7" i="11" l="1"/>
  <c r="BN3" i="11" l="1"/>
  <c r="BO7" i="11"/>
  <c r="BP7" i="11" l="1"/>
  <c r="BO3" i="11"/>
  <c r="BP3" i="11" s="1"/>
</calcChain>
</file>

<file path=xl/comments1.xml><?xml version="1.0" encoding="utf-8"?>
<comments xmlns="http://schemas.openxmlformats.org/spreadsheetml/2006/main">
  <authors>
    <author>EDOO Kamil</author>
  </authors>
  <commentList>
    <comment ref="BG6" authorId="0">
      <text>
        <r>
          <rPr>
            <b/>
            <sz val="9"/>
            <color indexed="81"/>
            <rFont val="Tahoma"/>
            <family val="2"/>
          </rPr>
          <t>3 ANS + ANNEE EN COURS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3 ANS + ANNEE EN COURS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6" authorId="0">
      <text>
        <r>
          <rPr>
            <b/>
            <sz val="9"/>
            <color indexed="81"/>
            <rFont val="Tahoma"/>
            <family val="2"/>
          </rPr>
          <t>P  = Prime HT N + (Primes HT N-1/N-2/N-3)*0,85)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<sst xmlns="http://schemas.openxmlformats.org/spreadsheetml/2006/main" count="881" uniqueCount="540">
  <si>
    <t>NOM DE LA COPROPRIETE</t>
  </si>
  <si>
    <t>COMPAGNIE</t>
  </si>
  <si>
    <t>VILLE</t>
  </si>
  <si>
    <t>COURTIER AGENT</t>
  </si>
  <si>
    <t>Code Postal</t>
  </si>
  <si>
    <t>travaux effectué sur toiture &lt; à 10 ans</t>
  </si>
  <si>
    <t>REF INTERNE SYNDIC</t>
  </si>
  <si>
    <t>année construction</t>
  </si>
  <si>
    <t>COMMENTAIRES DU CHARGE DE COPRO</t>
  </si>
  <si>
    <t>Réfection Colonnes montantes et descendantes</t>
  </si>
  <si>
    <t>ASL</t>
  </si>
  <si>
    <t>AFUL</t>
  </si>
  <si>
    <t xml:space="preserve">Nb de bâtiments séparés </t>
  </si>
  <si>
    <t>NBRE DE LOTS PRINCIPAUX</t>
  </si>
  <si>
    <t>SURFACE TOTALE (SHOB)</t>
  </si>
  <si>
    <t>Observations sur les garanties actuelles (LCI, exclusions spécifiques)</t>
  </si>
  <si>
    <t>Franchises actuelles spécifiques</t>
  </si>
  <si>
    <t>CP</t>
  </si>
  <si>
    <t>MATMUT</t>
  </si>
  <si>
    <t>GROUPAMA</t>
  </si>
  <si>
    <t>SWISS LIFE</t>
  </si>
  <si>
    <t>MMA</t>
  </si>
  <si>
    <t>Surface Commerciale</t>
  </si>
  <si>
    <t>Ech. Actuelle</t>
  </si>
  <si>
    <t>Nom Gestionnaire</t>
  </si>
  <si>
    <t>Précisions gros sinistres</t>
  </si>
  <si>
    <t>TYPE DE RISQUE</t>
  </si>
  <si>
    <t>SDCH</t>
  </si>
  <si>
    <t>SDCV</t>
  </si>
  <si>
    <t>TR</t>
  </si>
  <si>
    <t>MI</t>
  </si>
  <si>
    <t>TE</t>
  </si>
  <si>
    <t>VE</t>
  </si>
  <si>
    <t>ravalement de façade &lt; 10 ans (O ou N) (total ou partiel)</t>
  </si>
  <si>
    <t>Nbre de niveaux de sous-sol (1s / parkings)</t>
  </si>
  <si>
    <t>Toiture :           TE = TErrasse      TR = Traditionnelle   MI = Mixte   VE = Vegétale</t>
  </si>
  <si>
    <t>BURE</t>
  </si>
  <si>
    <t>COMM</t>
  </si>
  <si>
    <t>HABU</t>
  </si>
  <si>
    <t>HACO</t>
  </si>
  <si>
    <t>Taux au m2 sur prime actuelle</t>
  </si>
  <si>
    <t>SIGLE OBI</t>
  </si>
  <si>
    <t>SURFACE HABITATION</t>
  </si>
  <si>
    <t>SURFACE BUREAUX</t>
  </si>
  <si>
    <t>SURFACE COMMERCES</t>
  </si>
  <si>
    <t>SURFACE LOCAUX ARTISANATS</t>
  </si>
  <si>
    <t>SURFACE LOCAUX INDUSTRIELS</t>
  </si>
  <si>
    <t>SURFACE SOUS-SOLS</t>
  </si>
  <si>
    <t>DERNIERE PRIME ANNUELLE TTC</t>
  </si>
  <si>
    <t>OUI</t>
  </si>
  <si>
    <t>NON</t>
  </si>
  <si>
    <t>ALTITUDE</t>
  </si>
  <si>
    <t>SDC</t>
  </si>
  <si>
    <t>Nature du contrat  MRI / PJ / VTM / RC …</t>
  </si>
  <si>
    <t>VAND</t>
  </si>
  <si>
    <t>&lt;1500</t>
  </si>
  <si>
    <t>DDE</t>
  </si>
  <si>
    <t>VOL</t>
  </si>
  <si>
    <t>RC</t>
  </si>
  <si>
    <t>BDG</t>
  </si>
  <si>
    <t>MRI</t>
  </si>
  <si>
    <t>PARKING</t>
  </si>
  <si>
    <t>ACTE IARD</t>
  </si>
  <si>
    <t>INC</t>
  </si>
  <si>
    <t>ALLIANZ</t>
  </si>
  <si>
    <t>GENERALI</t>
  </si>
  <si>
    <t>Nb de niveaux y compris RDC</t>
  </si>
  <si>
    <t>TEMP</t>
  </si>
  <si>
    <t>CHVTM</t>
  </si>
  <si>
    <t>DR</t>
  </si>
  <si>
    <t xml:space="preserve">CHVTAM </t>
  </si>
  <si>
    <t>RCPI</t>
  </si>
  <si>
    <t>NEIGE</t>
  </si>
  <si>
    <t>ADRESSE DE L'IMMEUBLE                                (sans point virgule)</t>
  </si>
  <si>
    <t>COMPLEMENT ADRESSE                              (sans point virgule)</t>
  </si>
  <si>
    <t>Nature des commerces                                                  (sans point virgule)</t>
  </si>
  <si>
    <t>Nom du Prospect</t>
  </si>
  <si>
    <t>Prospect</t>
  </si>
  <si>
    <t>ADRESS COMPL</t>
  </si>
  <si>
    <t>NBRE LOTS</t>
  </si>
  <si>
    <t>SURF HABIT</t>
  </si>
  <si>
    <t>SURF BUR</t>
  </si>
  <si>
    <t>SURF SS</t>
  </si>
  <si>
    <t>RISQUE</t>
  </si>
  <si>
    <t>SURF COMM</t>
  </si>
  <si>
    <t>% SURF COMM</t>
  </si>
  <si>
    <t>Nat COMM</t>
  </si>
  <si>
    <t>SURF LOC.ARTIS</t>
  </si>
  <si>
    <t>SURF LOC. INDU</t>
  </si>
  <si>
    <t>REF GEST</t>
  </si>
  <si>
    <t>COD OBI</t>
  </si>
  <si>
    <t>NOM COPRO</t>
  </si>
  <si>
    <t>Nb de bat sep</t>
  </si>
  <si>
    <t>ADRESS IMM</t>
  </si>
  <si>
    <t>SURF TOT SHOB</t>
  </si>
  <si>
    <t>ann constr</t>
  </si>
  <si>
    <t xml:space="preserve">Nbre sous-sol </t>
  </si>
  <si>
    <t>Nb niv</t>
  </si>
  <si>
    <t>Risq spec</t>
  </si>
  <si>
    <t>COURT AGT</t>
  </si>
  <si>
    <t>CIE</t>
  </si>
  <si>
    <t>Obs gtie</t>
  </si>
  <si>
    <t>ALT</t>
  </si>
  <si>
    <t>frse spec</t>
  </si>
  <si>
    <t>REF SYND</t>
  </si>
  <si>
    <t>NAT CT</t>
  </si>
  <si>
    <t>Ech</t>
  </si>
  <si>
    <t>PRIME TTC</t>
  </si>
  <si>
    <t xml:space="preserve">COMMNT </t>
  </si>
  <si>
    <t>Entité</t>
  </si>
  <si>
    <t>Entité Prospect</t>
  </si>
  <si>
    <t>REF Prospect</t>
  </si>
  <si>
    <t>AUTRES</t>
  </si>
  <si>
    <t>Risques spécifiques :             
- Châteaux, 
- Immeubles totalement ou partiellement inscrit inventaire ou MH 
- Surf Ciale Sup 50 %
- Discothèque, C</t>
  </si>
  <si>
    <t>&gt;1500</t>
  </si>
  <si>
    <t>Toiture</t>
  </si>
  <si>
    <t xml:space="preserve">travaux effectué </t>
  </si>
  <si>
    <t xml:space="preserve">ravalement de façade </t>
  </si>
  <si>
    <t>PARTIEL</t>
  </si>
  <si>
    <t>Réfection Colonnes</t>
  </si>
  <si>
    <t>gros sinistres</t>
  </si>
  <si>
    <t>VARIABLES SAS</t>
  </si>
  <si>
    <t>VARIABLES ACTUELLES</t>
  </si>
  <si>
    <t>PROSPECT</t>
  </si>
  <si>
    <t>AFUL </t>
  </si>
  <si>
    <t> ASL</t>
  </si>
  <si>
    <t>100% Bureaux</t>
  </si>
  <si>
    <t>Parkings / garages</t>
  </si>
  <si>
    <t>Libéllé 1</t>
  </si>
  <si>
    <t>Libéllé 2</t>
  </si>
  <si>
    <t>ASL/AFUL/GARAGES</t>
  </si>
  <si>
    <t>BUREAUX</t>
  </si>
  <si>
    <t>100% COMMERCES</t>
  </si>
  <si>
    <t>COPROS HORIZONTALES</t>
  </si>
  <si>
    <t>HABITATION</t>
  </si>
  <si>
    <t>Mixte habitation et bureaux</t>
  </si>
  <si>
    <t>Mixte habitation et commerces</t>
  </si>
  <si>
    <t>100% commerces</t>
  </si>
  <si>
    <t>Copropriété horizontale</t>
  </si>
  <si>
    <t>Copropriété verticale</t>
  </si>
  <si>
    <t>VTM</t>
  </si>
  <si>
    <t>RC + DOMMAGE</t>
  </si>
  <si>
    <t>TOITURE</t>
  </si>
  <si>
    <t>Date de RDV</t>
  </si>
  <si>
    <t>INDENTIFIANT</t>
  </si>
  <si>
    <t>DESCRIPTIF ADMINISTRATIF SUR LES IMMEUBLES</t>
  </si>
  <si>
    <t>RESULTATS TECHNIQUES</t>
  </si>
  <si>
    <t>Étiquettes de lignes</t>
  </si>
  <si>
    <t>(vide)</t>
  </si>
  <si>
    <t>Cliquez sur le tableau et actualisez le TCD</t>
  </si>
  <si>
    <t>Total</t>
  </si>
  <si>
    <t>MIXTE HABITATION ET BUREAUX</t>
  </si>
  <si>
    <t>MIXTE HABITATION ET COMMERCES</t>
  </si>
  <si>
    <t>AGENCE PROSPECT</t>
  </si>
  <si>
    <t>ANNEE</t>
  </si>
  <si>
    <t>NATURE</t>
  </si>
  <si>
    <t>ANALYSE_TECHNIQUE_VERSPIEREN</t>
  </si>
  <si>
    <t>REF_IDENTIFIANT_IMMEUBLE</t>
  </si>
  <si>
    <t>NOM_PROSPECT</t>
  </si>
  <si>
    <t>DATE_DE_RDV</t>
  </si>
  <si>
    <t>AGENCE_PROSPECT</t>
  </si>
  <si>
    <t>NOM_GESTIONNAIRE</t>
  </si>
  <si>
    <t>SIGLE_OBI</t>
  </si>
  <si>
    <t>NOM_IMMEUBLE</t>
  </si>
  <si>
    <t>ADRESSE_IMMEUBLE</t>
  </si>
  <si>
    <t>NOMBRE_LOTS_PRINCIPAUX</t>
  </si>
  <si>
    <t>ANNEE_CONSTRUCTION</t>
  </si>
  <si>
    <t>TYPE_DE_TOITURE</t>
  </si>
  <si>
    <t>SURFACE_SHOB</t>
  </si>
  <si>
    <t>TYPE_DE_RISQUE</t>
  </si>
  <si>
    <t>%_SURFACE__COMMERCE</t>
  </si>
  <si>
    <t>SURFACE_COMMERCE</t>
  </si>
  <si>
    <t>SURFACE_BUREAUX</t>
  </si>
  <si>
    <t>SURFACE_HABITITATIONS</t>
  </si>
  <si>
    <t>NATURE_COMMERCES</t>
  </si>
  <si>
    <t>NOMBRE_BATIMENTS_SEPARES_SUPERIEUR_A_10_M</t>
  </si>
  <si>
    <t>NOMBRE_NIVEAUX_SOUS_SOL</t>
  </si>
  <si>
    <t>NOMBRE_NIVEAUX_RDC_COMPRIS</t>
  </si>
  <si>
    <t>COMMENTAIRES_CHARGE_DE_COPROPRIETE</t>
  </si>
  <si>
    <t>RISQUES_SPECIFIQUES</t>
  </si>
  <si>
    <t>COURTIER_OU_AGENT</t>
  </si>
  <si>
    <t>N_CONTRAT</t>
  </si>
  <si>
    <t>ADRESSE_CIE</t>
  </si>
  <si>
    <t>BOITE_POSTALE_CIE</t>
  </si>
  <si>
    <t>CODE_POSTAL_CIE</t>
  </si>
  <si>
    <t>VILLE_CIE</t>
  </si>
  <si>
    <t>TOP_PROTECTION_JUDIQUE_ACTUELLE</t>
  </si>
  <si>
    <t>COURTIER_AGENT_PJ</t>
  </si>
  <si>
    <t>COMPAGNIE_PJ</t>
  </si>
  <si>
    <t>N_CONTRAT_PJ</t>
  </si>
  <si>
    <t>ADRESSE_CIE_PJ</t>
  </si>
  <si>
    <t>BOITE_POSTALE_CIE_PJ</t>
  </si>
  <si>
    <t>CODE_POSTAL_CIE_PJ</t>
  </si>
  <si>
    <t>VILLE_CIE_PJ</t>
  </si>
  <si>
    <t>OBSERVATIONS_GARANTIES</t>
  </si>
  <si>
    <t>FRANCHISES_ACTUELLES_SPECIFIQUES</t>
  </si>
  <si>
    <t>NATURE_CONTRAT</t>
  </si>
  <si>
    <t>ECHEANCE_JOURS</t>
  </si>
  <si>
    <t>ECHEANCE_MOIS</t>
  </si>
  <si>
    <t>TRAVAUX_EFFECTUE_SUR_TOITURE_</t>
  </si>
  <si>
    <t>RAVALEMENT_DE_FACADES</t>
  </si>
  <si>
    <t>REFECTION_COLONNES</t>
  </si>
  <si>
    <t>COMMENTAIRES_SINISTRES_IMPORTANTS</t>
  </si>
  <si>
    <t>NOMBRE_DE_SINISTRES_TOTAL</t>
  </si>
  <si>
    <t>PRIME_HT_
N</t>
  </si>
  <si>
    <t>PRIME_HT
_N-1</t>
  </si>
  <si>
    <t>PRIME_HT
_N-2</t>
  </si>
  <si>
    <t>PRIME_HT
_N-3</t>
  </si>
  <si>
    <t>CUMUL_PRIME_HT</t>
  </si>
  <si>
    <t>S/P_sur_primes_HT</t>
  </si>
  <si>
    <t>PRIME_TTC_SYNDIC_ANNEE_N</t>
  </si>
  <si>
    <t>FRAIS_DE_GESTION_VERSPIEREN</t>
  </si>
  <si>
    <t>FRAIS_DE_GESTION_SYNDIC</t>
  </si>
  <si>
    <t>CONTRÔLE_PRIME_TTC_SYNDIC</t>
  </si>
  <si>
    <t>NOMBRE_DE_SINISTRES</t>
  </si>
  <si>
    <t>EVALUATION_CHARGE_SINISTRES_</t>
  </si>
  <si>
    <t>COMMENTAIRES_SINISTRES</t>
  </si>
  <si>
    <t>LIBELLE_1</t>
  </si>
  <si>
    <t>LIBELLE_2</t>
  </si>
  <si>
    <t>NATURE_DES_SINISTRES</t>
  </si>
  <si>
    <t>COMPAGNIE_D_ASSURANCE</t>
  </si>
  <si>
    <t>REF_SAS_PROSPECT</t>
  </si>
  <si>
    <t>TYPE_DE_RISQUES</t>
  </si>
  <si>
    <t>%_SURFACE__COMMERCIALE</t>
  </si>
  <si>
    <t>PROTECTION_JUDIQUE_ACTUELLE</t>
  </si>
  <si>
    <t>PRIME_MRI_TTC_ANNEE_N</t>
  </si>
  <si>
    <t>MRI_ECHEANCE_JOURS</t>
  </si>
  <si>
    <t>MRI_ECHEANCE_MOIS</t>
  </si>
  <si>
    <t>PJ_ECHEANCE_JOURS</t>
  </si>
  <si>
    <t>PJ_ECHEANCE_MOIS</t>
  </si>
  <si>
    <t>PRIME_PJ_SYNDIC_TTC_ANNE_N</t>
  </si>
  <si>
    <t>PRIME_TTC_ASSUREUR_ANNEE_N</t>
  </si>
  <si>
    <t>TAUX_AU_M2_SUR_PRIME_ ASSUREUR_TTC_ASSUREUR_ANNEE_N</t>
  </si>
  <si>
    <t>TAUX_AU_M2_SUR_PRIME_ TTC_SYNDIC_ANNEE_N</t>
  </si>
  <si>
    <t>REGLEMENT_CHARGE_SINISTRES</t>
  </si>
  <si>
    <t>GARAGE</t>
  </si>
  <si>
    <t>TOTAL</t>
  </si>
  <si>
    <t>CHARGE_SINISTRES_TOTALE</t>
  </si>
  <si>
    <t>PRIME_TTC_SYNDIC_VERSPIEREN_MRI</t>
  </si>
  <si>
    <t>CONTRÔLE DES PRIMES</t>
  </si>
  <si>
    <r>
      <t xml:space="preserve">DIFFERENCE
</t>
    </r>
    <r>
      <rPr>
        <b/>
        <sz val="14"/>
        <color theme="1"/>
        <rFont val="Calibri"/>
        <family val="2"/>
        <scheme val="minor"/>
      </rPr>
      <t>BX-BY</t>
    </r>
  </si>
  <si>
    <t>Somme de NOMBRE_DE_SINISTRES</t>
  </si>
  <si>
    <t>Somme de CHARGE_SINISTRES_TOTALE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</si>
  <si>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</si>
  <si>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</si>
  <si>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</si>
  <si>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</si>
  <si>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</si>
  <si>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</si>
  <si>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</si>
  <si>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</si>
  <si>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</si>
  <si>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</si>
  <si>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</si>
  <si>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</si>
  <si>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ACE EUROPE</t>
  </si>
  <si>
    <t>ALBINGIA</t>
  </si>
  <si>
    <t>APRIL</t>
  </si>
  <si>
    <t>AREAS</t>
  </si>
  <si>
    <t>AVIVA</t>
  </si>
  <si>
    <t>AXA</t>
  </si>
  <si>
    <t>AXERIA</t>
  </si>
  <si>
    <t>CFDP</t>
  </si>
  <si>
    <t>COVEA</t>
  </si>
  <si>
    <t>DAS</t>
  </si>
  <si>
    <t>GAN ASSURANCES</t>
  </si>
  <si>
    <t>GAN EUROCOURTAGE</t>
  </si>
  <si>
    <t>JURASSURANCE</t>
  </si>
  <si>
    <t>LA BRESSE ASSUR</t>
  </si>
  <si>
    <t>LA PARISIENNE</t>
  </si>
  <si>
    <t>MAAF</t>
  </si>
  <si>
    <t>LA MACIF</t>
  </si>
  <si>
    <t>MONCEAU</t>
  </si>
  <si>
    <t>MONCEAU GENERAL</t>
  </si>
  <si>
    <t>MUTUELLE DE L EST</t>
  </si>
  <si>
    <t>QBE</t>
  </si>
  <si>
    <t>SADA</t>
  </si>
  <si>
    <t>RESULTATS TECHNIQUES : CONTRAT MRI</t>
  </si>
  <si>
    <t>TRAVAUX INFERIEUR OU EGAL A 10 ANS</t>
  </si>
  <si>
    <t>INFORMATIONS SUR LE CONTRAT : MRI</t>
  </si>
  <si>
    <t>INFORMATIONS SUR LE TENANT : CONTRAT PJ</t>
  </si>
  <si>
    <t>INFORMATIONS SUR LE TENANT : CONTRAT MRI</t>
  </si>
  <si>
    <t>DESCRIPTIF SUR LES SURFACES</t>
  </si>
  <si>
    <t>ADRESSE_COMPLEMENTAIRE_IMMEUBLE</t>
  </si>
  <si>
    <t>REF_INTERNE_SYNDIC</t>
  </si>
  <si>
    <t>EQUITE</t>
  </si>
  <si>
    <t>JURIDICA</t>
  </si>
  <si>
    <t>PROTEXIA</t>
  </si>
  <si>
    <t>NATURE_RISQUES_SPECIFIQUES</t>
  </si>
  <si>
    <t>SURFACE_MOYENNE_SHOB PAR LOTS</t>
  </si>
  <si>
    <t>CODE_POSTAL</t>
  </si>
  <si>
    <t>SEUIL 70</t>
  </si>
  <si>
    <t>PRIME_TTC_PROTECTION_JURIDIQUE_VERSPIEREN</t>
  </si>
  <si>
    <t>STATISTIQUES_SINISTRES
_RECUES</t>
  </si>
  <si>
    <t>46 RUE DAMREMONT</t>
  </si>
  <si>
    <t xml:space="preserve">48 RUE RICHER </t>
  </si>
  <si>
    <t>57 RUE RODIER</t>
  </si>
  <si>
    <t>51 AVENUE TRUDAINE</t>
  </si>
  <si>
    <t>5 RUE ARISTIDE BRIAND</t>
  </si>
  <si>
    <t>12/34 CHÂTEAU DES RENTIERS</t>
  </si>
  <si>
    <t>10 RUE DE LIEGE</t>
  </si>
  <si>
    <t>17 RUE GERANDO</t>
  </si>
  <si>
    <t>15 RUE DU POTEAU</t>
  </si>
  <si>
    <t>31 RUE MONTCALM</t>
  </si>
  <si>
    <t>16/18 RUE ST LAZARE</t>
  </si>
  <si>
    <t>16 RUE DU BAC</t>
  </si>
  <si>
    <t>15 SQUARE CARPEAUX</t>
  </si>
  <si>
    <t>43 RUE SAINTE ANNE</t>
  </si>
  <si>
    <t>8 AVENUE DE ST OUEN</t>
  </si>
  <si>
    <t>6 PLACE JACQUES BONSERGENT</t>
  </si>
  <si>
    <t>32 / 34 RUE SAINT LAZARE</t>
  </si>
  <si>
    <t>25 AVENUE PAUL DOUMER</t>
  </si>
  <si>
    <t>11 RUE DE L'EVANGILE</t>
  </si>
  <si>
    <t>6 AVENUE ALPHONSE XIII</t>
  </si>
  <si>
    <t>36 RUE DES PETITS HOTELS</t>
  </si>
  <si>
    <t>17 RUE MOLIERE</t>
  </si>
  <si>
    <t>6 RUE DARWIN</t>
  </si>
  <si>
    <t>20 RUE PAUL BERT</t>
  </si>
  <si>
    <t>39 RUE PROUDHON</t>
  </si>
  <si>
    <t>8 RUE J-B PIGALLE</t>
  </si>
  <si>
    <t>11/13 RUE FRANCOIS MIRON</t>
  </si>
  <si>
    <t>134/136 RUE CARDINET</t>
  </si>
  <si>
    <t>18 RUE ST SEBASTIEN</t>
  </si>
  <si>
    <t>24 RUE BOINOD</t>
  </si>
  <si>
    <t>262/264/266 RUE ST HONORE</t>
  </si>
  <si>
    <t>20 RUE GODOT DE MAUROY</t>
  </si>
  <si>
    <t>17 RUE ST LOUIS EN L'ILE</t>
  </si>
  <si>
    <t>36 BLD BARBES</t>
  </si>
  <si>
    <t>5 RUE GREFFULHE</t>
  </si>
  <si>
    <t>35 RUE LIGNE</t>
  </si>
  <si>
    <t>55/57 RUE GEOFFROY ST HILAIRE</t>
  </si>
  <si>
    <t>45 RUE ST ANTOINE</t>
  </si>
  <si>
    <t>2 RUE DE L'EGLISE</t>
  </si>
  <si>
    <t>25 PLACE DE L'EGLISE</t>
  </si>
  <si>
    <t>DEBAYLE PARIS</t>
  </si>
  <si>
    <t>GROUPE DEBAYLE</t>
  </si>
  <si>
    <t>46 DAMREMONT</t>
  </si>
  <si>
    <t>48 RICHER</t>
  </si>
  <si>
    <t>57 RODIER</t>
  </si>
  <si>
    <t>51 TRUDAINE</t>
  </si>
  <si>
    <t>5 ARISTIDE BRIAND</t>
  </si>
  <si>
    <t>24 CHÂTEAU DES RENTIERS</t>
  </si>
  <si>
    <t>10 LIEGE</t>
  </si>
  <si>
    <t>17 GERANDO</t>
  </si>
  <si>
    <t>15 POTEAU</t>
  </si>
  <si>
    <t>31 MONTCALM</t>
  </si>
  <si>
    <t>16/18 ST LAZARE</t>
  </si>
  <si>
    <t>16 BAC</t>
  </si>
  <si>
    <t>15 CARPEAUX</t>
  </si>
  <si>
    <t>43 SAINTE ANNE</t>
  </si>
  <si>
    <t>8 SAINT OUEN</t>
  </si>
  <si>
    <t>6 JACQUES BONSERGENT</t>
  </si>
  <si>
    <t>32 / 34 ST LAZARE</t>
  </si>
  <si>
    <t>25 PAUL DOUMER</t>
  </si>
  <si>
    <t>11 EVANGILE</t>
  </si>
  <si>
    <t>6 ALPHONSE XIII</t>
  </si>
  <si>
    <t>36 PETITS HOTELS</t>
  </si>
  <si>
    <t>17 MOLIERE</t>
  </si>
  <si>
    <t>6 DARWIN</t>
  </si>
  <si>
    <t>20 PAUL BERT</t>
  </si>
  <si>
    <t>39 PROUDHON</t>
  </si>
  <si>
    <t>8 JB PIGALLE</t>
  </si>
  <si>
    <t>11/13 MIRON</t>
  </si>
  <si>
    <t>134/136 CARDINET</t>
  </si>
  <si>
    <t>18 ST SEBASTIEN</t>
  </si>
  <si>
    <t>24 BOINOD</t>
  </si>
  <si>
    <t>262/264/266 ST HONORE</t>
  </si>
  <si>
    <t>20 GODOT DE MAUROY</t>
  </si>
  <si>
    <t>17 ST LOUIS EN L'ILE</t>
  </si>
  <si>
    <t>36 BARBES</t>
  </si>
  <si>
    <t>5 GREFFULHE</t>
  </si>
  <si>
    <t>35 LIGNE</t>
  </si>
  <si>
    <t>55/57 GEOFFROY ST HILAIRE</t>
  </si>
  <si>
    <t>45 ST ANTOINE</t>
  </si>
  <si>
    <t>2 EGLISE</t>
  </si>
  <si>
    <t>25 EGLISE</t>
  </si>
  <si>
    <t>PARIS</t>
  </si>
  <si>
    <t>LEVALLOIS PERRET</t>
  </si>
  <si>
    <t>ASNIERES SUR SEINE</t>
  </si>
  <si>
    <t>RUEIL MALMAISON</t>
  </si>
  <si>
    <t>Saladerie / sandwicherie / restaurant asiatique / bureaux / synagogue</t>
  </si>
  <si>
    <t>Restaurant / pizzeria</t>
  </si>
  <si>
    <t>LAISSER DE COTE POUR L'INSTANT. Changement complet dans cette grosse copro en ce moment</t>
  </si>
  <si>
    <t>929901014650 F</t>
  </si>
  <si>
    <t>929901012865 E</t>
  </si>
  <si>
    <t>AGEO RISKS</t>
  </si>
  <si>
    <t>7 RUE DE TURBIGO</t>
  </si>
  <si>
    <t>GROUPAMAPRO</t>
  </si>
  <si>
    <t>2 AV. DE CHATEAUDUN</t>
  </si>
  <si>
    <t>BLOIS</t>
  </si>
  <si>
    <t>40331671Q / 130716620</t>
  </si>
  <si>
    <t>CBT BAYVET BASSET SA</t>
  </si>
  <si>
    <t>25 PLACE DE LA MADELEINE</t>
  </si>
  <si>
    <t>HWI France</t>
  </si>
  <si>
    <t>73 BLD HAUSSMANN</t>
  </si>
  <si>
    <t>017359449</t>
  </si>
  <si>
    <t>WARGNY ASSURANCES</t>
  </si>
  <si>
    <t>48 RUE DE LA BIENFAISANCE</t>
  </si>
  <si>
    <t>IM-004417</t>
  </si>
  <si>
    <t>IMMASSUR</t>
  </si>
  <si>
    <t>32 RUE DE LA REPUBIQUE</t>
  </si>
  <si>
    <t>LYON CEDEX 02</t>
  </si>
  <si>
    <t>40982002 E 0016</t>
  </si>
  <si>
    <t>HARMAND ALEXANDRE</t>
  </si>
  <si>
    <t>29 RUE RENNEQUIN</t>
  </si>
  <si>
    <t>IM-003237</t>
  </si>
  <si>
    <t>GATINAIS CHAMPAGNE</t>
  </si>
  <si>
    <t>MACIF</t>
  </si>
  <si>
    <t>CENTRE DE GESTION / 2 RUE D'EGREVILLE</t>
  </si>
  <si>
    <t>NEMOURS CEDEX</t>
  </si>
  <si>
    <t>AGT LOIC FLICHY</t>
  </si>
  <si>
    <t>12 RUE DE MONTREUIL</t>
  </si>
  <si>
    <t>VERSAILLES</t>
  </si>
  <si>
    <t>DE CLARENS</t>
  </si>
  <si>
    <t>4 RUE BERTEAUX DUMAS</t>
  </si>
  <si>
    <t>NEUILLY SUR SEINE</t>
  </si>
  <si>
    <t>028160436</t>
  </si>
  <si>
    <t>ASCORA</t>
  </si>
  <si>
    <t>37 RUE PIERRE LHOMME</t>
  </si>
  <si>
    <t>CS40001</t>
  </si>
  <si>
    <t>COURBEVOIE CEDEX</t>
  </si>
  <si>
    <t>IM-008098</t>
  </si>
  <si>
    <t>MANTOUT SARL</t>
  </si>
  <si>
    <t>38 RUE FABERT</t>
  </si>
  <si>
    <t>1H0110305</t>
  </si>
  <si>
    <t>MRS GAMBIER ET MAILLARD</t>
  </si>
  <si>
    <t>26 RUE ANATOLE France</t>
  </si>
  <si>
    <t>LENS CEDEX</t>
  </si>
  <si>
    <t>AP381480</t>
  </si>
  <si>
    <t>M CHAZALETTE FREDERIC</t>
  </si>
  <si>
    <t>149 RUE EDOUARD VAILLANT</t>
  </si>
  <si>
    <t>BP 30036</t>
  </si>
  <si>
    <t>BEZONS CEDEX</t>
  </si>
  <si>
    <t>M JARDIN ARNAUD</t>
  </si>
  <si>
    <t>16 PLACE DU STADE</t>
  </si>
  <si>
    <t>DOUVRES LA DELIVRANCE</t>
  </si>
  <si>
    <t>ASSURCOPRO</t>
  </si>
  <si>
    <t>33 RUE MARBEUF</t>
  </si>
  <si>
    <t>1H0114682</t>
  </si>
  <si>
    <t>OP504527</t>
  </si>
  <si>
    <t>CBT ECL ASSURANCES</t>
  </si>
  <si>
    <t>164 GRANDE RUE</t>
  </si>
  <si>
    <t>GARCHES</t>
  </si>
  <si>
    <t>46022101 Y</t>
  </si>
  <si>
    <t>NEXITY SOLUTIONS ASSURANCES</t>
  </si>
  <si>
    <t>46-48 CHEMIN DE LA BRUYERE</t>
  </si>
  <si>
    <t>DARDILLY</t>
  </si>
  <si>
    <t>MRI/I16245-01</t>
  </si>
  <si>
    <t>CBT BESSE</t>
  </si>
  <si>
    <t>46 BIS RUE DES HAUTS PAVES</t>
  </si>
  <si>
    <t>BP 80205</t>
  </si>
  <si>
    <t>NANTES CEDEX 01</t>
  </si>
  <si>
    <t>207AL810029/1</t>
  </si>
  <si>
    <t>SCABD ASSURANCES</t>
  </si>
  <si>
    <t>ELITE INSURANCE LTD</t>
  </si>
  <si>
    <t>6 AVENUE GALLIENI</t>
  </si>
  <si>
    <t>BP 292</t>
  </si>
  <si>
    <t>ST MAUR CEDEX</t>
  </si>
  <si>
    <t>FR201000314PNO</t>
  </si>
  <si>
    <t>OP505056</t>
  </si>
  <si>
    <t>CBT BOULARD</t>
  </si>
  <si>
    <t>9 RUE D'ANJOU</t>
  </si>
  <si>
    <t>DIOT</t>
  </si>
  <si>
    <t>195 AVENUE CHARLES DE GAULLE</t>
  </si>
  <si>
    <t>NEUILLY SUR SEINE CEDEX</t>
  </si>
  <si>
    <t>ZD000054/002</t>
  </si>
  <si>
    <t>1800AA304857/1</t>
  </si>
  <si>
    <t>CBT MAXIME BIHEL</t>
  </si>
  <si>
    <t>27 RUE DES VIOLETTES</t>
  </si>
  <si>
    <t>1899278D/001</t>
  </si>
  <si>
    <t>028604067</t>
  </si>
  <si>
    <t>ASSURANCES ET CONSEILS</t>
  </si>
  <si>
    <t>24 AVENUE DES GRESILLONS</t>
  </si>
  <si>
    <t>JABOULAY</t>
  </si>
  <si>
    <t>295 RUE LECOURBE</t>
  </si>
  <si>
    <t>028505296</t>
  </si>
  <si>
    <t>P.PLASSE ET CIE</t>
  </si>
  <si>
    <t>GROUPAMA PJ</t>
  </si>
  <si>
    <t>81 RUE D'AMSTERDAM</t>
  </si>
  <si>
    <t>PARIS CEDEX 08</t>
  </si>
  <si>
    <t>501032/000001</t>
  </si>
  <si>
    <t>76350129/146</t>
  </si>
  <si>
    <t>ALLIANZ PJ</t>
  </si>
  <si>
    <t>PJI/16245</t>
  </si>
  <si>
    <t xml:space="preserve"> </t>
  </si>
  <si>
    <t>FR DDE partie HABITAT à 1000 €</t>
  </si>
  <si>
    <t>FR DDE à 1000 €</t>
  </si>
  <si>
    <t>FR GEN 268€</t>
  </si>
  <si>
    <t>FR GEN de 0,4 x IND et en DDE de 3 fois l'ind</t>
  </si>
  <si>
    <t>FR INC et DDE à 560 €. FR VOL et BDG à 280 €</t>
  </si>
  <si>
    <t>FR DDE à 2000 €</t>
  </si>
  <si>
    <t>TENTATIVE DE VOL</t>
  </si>
  <si>
    <t>VOL AVEC EFFRACTION</t>
  </si>
  <si>
    <t>FUITE SUR BALLON EC</t>
  </si>
  <si>
    <t>FUITE SUR CANALISATION</t>
  </si>
  <si>
    <t>FUITE SUR COLONNE EVACUATION EP</t>
  </si>
  <si>
    <t>FUITE APPT DUMONT</t>
  </si>
  <si>
    <t>FUITE INDETERMINEE</t>
  </si>
  <si>
    <t>INFILTRATION FACADE</t>
  </si>
  <si>
    <t>FUITE DESCENTE EP</t>
  </si>
  <si>
    <t>NE PAS REPRENDRE / perte de mandat en cours</t>
  </si>
  <si>
    <t>en attente CG et CP pour comparatif</t>
  </si>
  <si>
    <t>FR DDE 1600 €</t>
  </si>
  <si>
    <t>même famille que le 17 MOLIERE. Application d'un même taux au m2</t>
  </si>
  <si>
    <t>même famille que le 20 PAUL BERT. Application d'un même taux au m2</t>
  </si>
  <si>
    <t>en attente stat. pour décision et le cabinet Debayle envoie une résil conservatoire avant le 30/09/2016</t>
  </si>
  <si>
    <t>32 RUE DE L'AUDE</t>
  </si>
  <si>
    <t>32 AUDE</t>
  </si>
  <si>
    <t>10 CITE CONDORCET</t>
  </si>
  <si>
    <t>10 CONDORCET</t>
  </si>
  <si>
    <t>OLIVIER ALEXANDRE CENAC</t>
  </si>
  <si>
    <t>96 AVENUE DE PARIS</t>
  </si>
  <si>
    <t>VINCENNES</t>
  </si>
  <si>
    <t>Nouvel immeuble en attente stat. car très très cher</t>
  </si>
  <si>
    <t xml:space="preserve">LE PAPE </t>
  </si>
  <si>
    <t>28 RUE TRUFFAUT</t>
  </si>
  <si>
    <t>28 TRUFFAUT</t>
  </si>
  <si>
    <t>1H0187030</t>
  </si>
  <si>
    <t>stat. récup par tél le 23/09 MD</t>
  </si>
  <si>
    <t>restaurant</t>
  </si>
  <si>
    <t>Assurances et Conseils</t>
  </si>
  <si>
    <t>50463284S</t>
  </si>
  <si>
    <t>FR GENERALE 1000 €</t>
  </si>
  <si>
    <t>immeuble neuf</t>
  </si>
  <si>
    <t>Boulangerie</t>
  </si>
  <si>
    <t>ZI000099</t>
  </si>
  <si>
    <t>Cours Saint Louis Volume I</t>
  </si>
  <si>
    <t>ASSURIMO</t>
  </si>
  <si>
    <t xml:space="preserve">13 AVENUE LEBRUN </t>
  </si>
  <si>
    <t>ANTONY CEDEX</t>
  </si>
  <si>
    <t>01343287-27</t>
  </si>
  <si>
    <t>Immeuble neuf. Pas de sinistres</t>
  </si>
  <si>
    <t>gérance pure</t>
  </si>
  <si>
    <t>Magasin de vêtements</t>
  </si>
  <si>
    <t>COMMENTAIRES</t>
  </si>
  <si>
    <t>DATE DE RESIL MAJO</t>
  </si>
  <si>
    <t>DATE DE RESIL ECH</t>
  </si>
  <si>
    <t>CT PJ</t>
  </si>
  <si>
    <t>DATE D EFFET VERSPIEREN</t>
  </si>
  <si>
    <t>ACCORD 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</si>
</sst>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_-* #,##0.00\ [$€-1]_-;\-* #,##0.00\ [$€-1]_-;_-* &quot;-&quot;??\ [$€-1]_-"/>
    <numFmt numFmtId="165" formatCode="#,##0\ &quot;€&quot;"/>
    <numFmt numFmtId="166" formatCode="[$-40C]d\ mmmm\ yyyy;@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rgb="FF91283C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i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BE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1283C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BE0000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</fills>
  <borders count="3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/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medium">
        <color theme="1" tint="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medium">
        <color theme="1" tint="0.34998626667073579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theme="1" tint="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/>
      <top/>
      <bottom/>
      <diagonal/>
    </border>
    <border>
      <left style="medium">
        <color theme="1" tint="0.34998626667073579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34998626667073579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ck">
        <color auto="1"/>
      </left>
      <right/>
      <top style="thin">
        <color theme="0" tint="-0.499984740745262"/>
      </top>
      <bottom/>
      <diagonal/>
    </border>
    <border>
      <left style="thick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214">
    <xf numFmtId="0" fontId="0" fillId="0" borderId="0" xfId="0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4" fillId="3" borderId="0" xfId="0" applyFont="1" applyFill="1" applyAlignment="1">
      <alignment horizontal="center" vertical="center"/>
    </xf>
    <xf numFmtId="0" fontId="2" fillId="0" borderId="3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center"/>
    </xf>
    <xf numFmtId="0" fontId="2" fillId="0" borderId="5" xfId="0" applyFont="1" applyBorder="1"/>
    <xf numFmtId="0" fontId="3" fillId="0" borderId="0" xfId="0" applyFont="1" applyBorder="1"/>
    <xf numFmtId="0" fontId="5" fillId="0" borderId="0" xfId="0" applyFont="1" applyFill="1" applyAlignment="1">
      <alignment horizontal="center" vertical="center" wrapText="1"/>
    </xf>
    <xf numFmtId="0" fontId="3" fillId="0" borderId="0" xfId="0" applyFont="1" applyFill="1"/>
    <xf numFmtId="0" fontId="5" fillId="4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16" fillId="2" borderId="2" xfId="0" applyFont="1" applyFill="1" applyBorder="1"/>
    <xf numFmtId="0" fontId="0" fillId="0" borderId="0" xfId="0" applyFont="1" applyFill="1" applyBorder="1"/>
    <xf numFmtId="0" fontId="19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3" fillId="0" borderId="2" xfId="0" applyFont="1" applyFill="1" applyBorder="1"/>
    <xf numFmtId="1" fontId="3" fillId="0" borderId="2" xfId="0" applyNumberFormat="1" applyFont="1" applyFill="1" applyBorder="1"/>
    <xf numFmtId="0" fontId="0" fillId="0" borderId="0" xfId="0" applyFill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15" fillId="5" borderId="2" xfId="0" applyFont="1" applyFill="1" applyBorder="1" applyProtection="1">
      <protection locked="0"/>
    </xf>
    <xf numFmtId="0" fontId="0" fillId="5" borderId="2" xfId="0" applyFont="1" applyFill="1" applyBorder="1" applyProtection="1">
      <protection locked="0"/>
    </xf>
    <xf numFmtId="0" fontId="15" fillId="5" borderId="12" xfId="0" applyFont="1" applyFill="1" applyBorder="1" applyProtection="1">
      <protection locked="0"/>
    </xf>
    <xf numFmtId="0" fontId="0" fillId="0" borderId="10" xfId="0" applyFont="1" applyFill="1" applyBorder="1" applyProtection="1">
      <protection locked="0"/>
    </xf>
    <xf numFmtId="0" fontId="17" fillId="0" borderId="0" xfId="0" applyFont="1" applyFill="1" applyBorder="1" applyProtection="1">
      <protection locked="0"/>
    </xf>
    <xf numFmtId="0" fontId="0" fillId="0" borderId="14" xfId="0" applyFont="1" applyFill="1" applyBorder="1" applyProtection="1">
      <protection locked="0"/>
    </xf>
    <xf numFmtId="1" fontId="0" fillId="0" borderId="12" xfId="0" applyNumberFormat="1" applyFont="1" applyFill="1" applyBorder="1" applyProtection="1">
      <protection locked="0"/>
    </xf>
    <xf numFmtId="1" fontId="0" fillId="0" borderId="0" xfId="0" applyNumberFormat="1" applyFont="1" applyFill="1" applyBorder="1" applyProtection="1">
      <protection locked="0"/>
    </xf>
    <xf numFmtId="0" fontId="2" fillId="0" borderId="0" xfId="0" applyFont="1" applyProtection="1">
      <protection locked="0"/>
    </xf>
    <xf numFmtId="0" fontId="8" fillId="5" borderId="2" xfId="0" applyFont="1" applyFill="1" applyBorder="1" applyAlignment="1" applyProtection="1">
      <alignment horizontal="center"/>
      <protection locked="0"/>
    </xf>
    <xf numFmtId="0" fontId="8" fillId="5" borderId="2" xfId="0" applyFont="1" applyFill="1" applyBorder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11" fillId="10" borderId="2" xfId="0" applyFont="1" applyFill="1" applyBorder="1" applyAlignment="1" applyProtection="1">
      <alignment horizontal="center" vertical="center" wrapText="1"/>
      <protection locked="0"/>
    </xf>
    <xf numFmtId="0" fontId="11" fillId="4" borderId="10" xfId="0" applyFont="1" applyFill="1" applyBorder="1" applyAlignment="1" applyProtection="1">
      <alignment horizontal="center" vertical="center" wrapText="1"/>
      <protection locked="0"/>
    </xf>
    <xf numFmtId="0" fontId="11" fillId="4" borderId="2" xfId="0" applyFont="1" applyFill="1" applyBorder="1" applyAlignment="1" applyProtection="1">
      <alignment horizontal="center" vertical="center" wrapText="1"/>
      <protection locked="0"/>
    </xf>
    <xf numFmtId="0" fontId="11" fillId="4" borderId="12" xfId="0" applyFont="1" applyFill="1" applyBorder="1" applyAlignment="1" applyProtection="1">
      <alignment horizontal="center" vertical="center" wrapText="1"/>
      <protection locked="0"/>
    </xf>
    <xf numFmtId="0" fontId="15" fillId="7" borderId="11" xfId="0" applyFont="1" applyFill="1" applyBorder="1" applyAlignment="1" applyProtection="1">
      <alignment horizontal="center" vertical="center" wrapText="1"/>
      <protection locked="0"/>
    </xf>
    <xf numFmtId="0" fontId="15" fillId="7" borderId="9" xfId="0" applyFont="1" applyFill="1" applyBorder="1" applyAlignment="1" applyProtection="1">
      <alignment horizontal="center" vertical="center" wrapText="1"/>
      <protection locked="0"/>
    </xf>
    <xf numFmtId="0" fontId="15" fillId="18" borderId="11" xfId="1" applyFont="1" applyFill="1" applyBorder="1" applyAlignment="1" applyProtection="1">
      <alignment horizontal="center" vertical="center" wrapText="1"/>
      <protection locked="0"/>
    </xf>
    <xf numFmtId="0" fontId="15" fillId="18" borderId="15" xfId="1" applyFont="1" applyFill="1" applyBorder="1" applyAlignment="1" applyProtection="1">
      <alignment horizontal="center" vertical="center" wrapText="1"/>
      <protection locked="0"/>
    </xf>
    <xf numFmtId="0" fontId="15" fillId="18" borderId="13" xfId="1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Protection="1"/>
    <xf numFmtId="0" fontId="2" fillId="0" borderId="0" xfId="0" applyFont="1" applyProtection="1"/>
    <xf numFmtId="0" fontId="15" fillId="13" borderId="10" xfId="0" applyFont="1" applyFill="1" applyBorder="1" applyAlignment="1" applyProtection="1">
      <alignment horizontal="center" vertical="center" wrapText="1"/>
      <protection locked="0"/>
    </xf>
    <xf numFmtId="0" fontId="15" fillId="13" borderId="2" xfId="0" applyFont="1" applyFill="1" applyBorder="1" applyAlignment="1" applyProtection="1">
      <alignment horizontal="center" vertical="center" wrapText="1"/>
      <protection locked="0"/>
    </xf>
    <xf numFmtId="0" fontId="15" fillId="13" borderId="17" xfId="0" applyFont="1" applyFill="1" applyBorder="1" applyAlignment="1" applyProtection="1">
      <alignment horizontal="center" vertical="center" wrapText="1"/>
      <protection locked="0"/>
    </xf>
    <xf numFmtId="0" fontId="15" fillId="14" borderId="10" xfId="0" applyFont="1" applyFill="1" applyBorder="1" applyAlignment="1" applyProtection="1">
      <alignment horizontal="center" vertical="center" wrapText="1"/>
      <protection locked="0"/>
    </xf>
    <xf numFmtId="0" fontId="15" fillId="14" borderId="2" xfId="0" applyFont="1" applyFill="1" applyBorder="1" applyAlignment="1" applyProtection="1">
      <alignment horizontal="center" vertical="center" wrapText="1"/>
      <protection locked="0"/>
    </xf>
    <xf numFmtId="0" fontId="15" fillId="6" borderId="10" xfId="0" applyFont="1" applyFill="1" applyBorder="1" applyAlignment="1" applyProtection="1">
      <alignment horizontal="center" vertical="center" wrapText="1"/>
      <protection locked="0"/>
    </xf>
    <xf numFmtId="0" fontId="15" fillId="6" borderId="2" xfId="0" applyFont="1" applyFill="1" applyBorder="1" applyAlignment="1" applyProtection="1">
      <alignment horizontal="center" vertical="center" wrapText="1"/>
      <protection locked="0"/>
    </xf>
    <xf numFmtId="0" fontId="15" fillId="6" borderId="12" xfId="0" applyFont="1" applyFill="1" applyBorder="1" applyAlignment="1" applyProtection="1">
      <alignment horizontal="center" vertical="center" wrapText="1"/>
      <protection locked="0"/>
    </xf>
    <xf numFmtId="0" fontId="15" fillId="21" borderId="10" xfId="0" applyFont="1" applyFill="1" applyBorder="1" applyAlignment="1" applyProtection="1">
      <alignment horizontal="center" vertical="center" wrapText="1"/>
      <protection locked="0"/>
    </xf>
    <xf numFmtId="0" fontId="15" fillId="7" borderId="2" xfId="0" applyFont="1" applyFill="1" applyBorder="1" applyAlignment="1" applyProtection="1">
      <alignment horizontal="center" vertical="center" wrapText="1"/>
      <protection locked="0"/>
    </xf>
    <xf numFmtId="0" fontId="2" fillId="0" borderId="14" xfId="0" applyFont="1" applyBorder="1" applyProtection="1">
      <protection locked="0"/>
    </xf>
    <xf numFmtId="0" fontId="2" fillId="0" borderId="0" xfId="0" applyFont="1" applyFill="1" applyBorder="1"/>
    <xf numFmtId="0" fontId="8" fillId="0" borderId="0" xfId="0" applyFont="1" applyFill="1" applyBorder="1" applyProtection="1">
      <protection locked="0"/>
    </xf>
    <xf numFmtId="0" fontId="0" fillId="22" borderId="2" xfId="0" applyFont="1" applyFill="1" applyBorder="1" applyAlignment="1" applyProtection="1">
      <alignment horizontal="center" vertical="center" wrapText="1"/>
      <protection locked="0"/>
    </xf>
    <xf numFmtId="0" fontId="9" fillId="2" borderId="2" xfId="0" applyFont="1" applyFill="1" applyBorder="1" applyProtection="1"/>
    <xf numFmtId="1" fontId="2" fillId="0" borderId="2" xfId="0" applyNumberFormat="1" applyFont="1" applyFill="1" applyBorder="1" applyProtection="1">
      <protection locked="0"/>
    </xf>
    <xf numFmtId="1" fontId="2" fillId="0" borderId="0" xfId="0" applyNumberFormat="1" applyFont="1" applyFill="1" applyProtection="1">
      <protection locked="0"/>
    </xf>
    <xf numFmtId="0" fontId="0" fillId="2" borderId="10" xfId="0" applyFont="1" applyFill="1" applyBorder="1" applyProtection="1"/>
    <xf numFmtId="0" fontId="0" fillId="0" borderId="0" xfId="0" applyFont="1" applyFill="1" applyBorder="1" applyProtection="1"/>
    <xf numFmtId="0" fontId="16" fillId="2" borderId="2" xfId="0" applyFont="1" applyFill="1" applyBorder="1" applyProtection="1"/>
    <xf numFmtId="1" fontId="16" fillId="2" borderId="2" xfId="0" applyNumberFormat="1" applyFont="1" applyFill="1" applyBorder="1" applyProtection="1"/>
    <xf numFmtId="1" fontId="18" fillId="2" borderId="10" xfId="0" applyNumberFormat="1" applyFont="1" applyFill="1" applyBorder="1" applyProtection="1"/>
    <xf numFmtId="2" fontId="16" fillId="2" borderId="2" xfId="0" applyNumberFormat="1" applyFont="1" applyFill="1" applyBorder="1" applyProtection="1"/>
    <xf numFmtId="1" fontId="18" fillId="2" borderId="20" xfId="0" applyNumberFormat="1" applyFont="1" applyFill="1" applyBorder="1" applyProtection="1"/>
    <xf numFmtId="0" fontId="0" fillId="23" borderId="19" xfId="0" applyFont="1" applyFill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/>
    </xf>
    <xf numFmtId="10" fontId="16" fillId="2" borderId="14" xfId="3" applyNumberFormat="1" applyFont="1" applyFill="1" applyBorder="1" applyProtection="1"/>
    <xf numFmtId="0" fontId="21" fillId="15" borderId="6" xfId="0" applyFont="1" applyFill="1" applyBorder="1" applyAlignment="1">
      <alignment horizontal="center" vertical="center" wrapText="1"/>
    </xf>
    <xf numFmtId="0" fontId="23" fillId="2" borderId="16" xfId="0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vertical="center"/>
    </xf>
    <xf numFmtId="0" fontId="23" fillId="0" borderId="16" xfId="0" applyFont="1" applyFill="1" applyBorder="1" applyAlignment="1">
      <alignment horizontal="center" vertical="center"/>
    </xf>
    <xf numFmtId="3" fontId="23" fillId="2" borderId="16" xfId="0" applyNumberFormat="1" applyFont="1" applyFill="1" applyBorder="1" applyAlignment="1">
      <alignment horizontal="center" vertical="center"/>
    </xf>
    <xf numFmtId="0" fontId="24" fillId="0" borderId="16" xfId="0" applyFont="1" applyFill="1" applyBorder="1" applyAlignment="1">
      <alignment vertical="center"/>
    </xf>
    <xf numFmtId="165" fontId="23" fillId="2" borderId="16" xfId="0" applyNumberFormat="1" applyFont="1" applyFill="1" applyBorder="1" applyAlignment="1">
      <alignment horizontal="center" vertical="center"/>
    </xf>
    <xf numFmtId="1" fontId="23" fillId="2" borderId="16" xfId="0" applyNumberFormat="1" applyFont="1" applyFill="1" applyBorder="1" applyAlignment="1">
      <alignment horizontal="center" vertical="center"/>
    </xf>
    <xf numFmtId="10" fontId="22" fillId="2" borderId="16" xfId="3" applyNumberFormat="1" applyFont="1" applyFill="1" applyBorder="1" applyAlignment="1">
      <alignment vertical="center"/>
    </xf>
    <xf numFmtId="165" fontId="23" fillId="2" borderId="16" xfId="0" applyNumberFormat="1" applyFont="1" applyFill="1" applyBorder="1" applyAlignment="1">
      <alignment vertical="center"/>
    </xf>
    <xf numFmtId="165" fontId="21" fillId="24" borderId="16" xfId="0" applyNumberFormat="1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5" fillId="0" borderId="0" xfId="0" applyFont="1" applyFill="1" applyBorder="1"/>
    <xf numFmtId="0" fontId="26" fillId="0" borderId="0" xfId="0" applyFont="1" applyFill="1" applyBorder="1"/>
    <xf numFmtId="0" fontId="26" fillId="0" borderId="0" xfId="0" applyFont="1" applyFill="1" applyBorder="1" applyAlignment="1">
      <alignment horizontal="center"/>
    </xf>
    <xf numFmtId="0" fontId="27" fillId="0" borderId="0" xfId="0" applyFont="1" applyFill="1" applyBorder="1"/>
    <xf numFmtId="0" fontId="12" fillId="10" borderId="1" xfId="0" applyFont="1" applyFill="1" applyBorder="1" applyAlignment="1" applyProtection="1">
      <alignment horizontal="center" vertical="center" wrapText="1"/>
      <protection locked="0"/>
    </xf>
    <xf numFmtId="0" fontId="0" fillId="21" borderId="1" xfId="0" applyFont="1" applyFill="1" applyBorder="1" applyAlignment="1" applyProtection="1">
      <alignment horizontal="center" vertical="center" wrapText="1"/>
      <protection locked="0"/>
    </xf>
    <xf numFmtId="0" fontId="0" fillId="5" borderId="14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7" borderId="21" xfId="0" applyFont="1" applyFill="1" applyBorder="1" applyAlignment="1" applyProtection="1">
      <alignment horizontal="center" vertical="center" wrapText="1"/>
      <protection locked="0"/>
    </xf>
    <xf numFmtId="0" fontId="15" fillId="0" borderId="17" xfId="0" applyFont="1" applyFill="1" applyBorder="1" applyProtection="1">
      <protection locked="0"/>
    </xf>
    <xf numFmtId="0" fontId="16" fillId="2" borderId="14" xfId="0" applyFont="1" applyFill="1" applyBorder="1"/>
    <xf numFmtId="0" fontId="2" fillId="0" borderId="2" xfId="0" applyFont="1" applyFill="1" applyBorder="1" applyProtection="1">
      <protection locked="0"/>
    </xf>
    <xf numFmtId="0" fontId="2" fillId="0" borderId="0" xfId="0" applyFont="1" applyFill="1" applyProtection="1">
      <protection locked="0"/>
    </xf>
    <xf numFmtId="0" fontId="0" fillId="21" borderId="18" xfId="0" applyFont="1" applyFill="1" applyBorder="1" applyAlignment="1" applyProtection="1">
      <alignment horizontal="center" vertical="center" wrapText="1"/>
      <protection locked="0"/>
    </xf>
    <xf numFmtId="0" fontId="0" fillId="5" borderId="10" xfId="0" applyFont="1" applyFill="1" applyBorder="1" applyProtection="1">
      <protection locked="0"/>
    </xf>
    <xf numFmtId="1" fontId="2" fillId="2" borderId="2" xfId="0" applyNumberFormat="1" applyFont="1" applyFill="1" applyBorder="1" applyProtection="1"/>
    <xf numFmtId="1" fontId="20" fillId="0" borderId="0" xfId="0" applyNumberFormat="1" applyFont="1" applyFill="1" applyBorder="1"/>
    <xf numFmtId="0" fontId="15" fillId="5" borderId="10" xfId="0" applyFont="1" applyFill="1" applyBorder="1" applyProtection="1">
      <protection locked="0"/>
    </xf>
    <xf numFmtId="2" fontId="0" fillId="25" borderId="10" xfId="0" applyNumberFormat="1" applyFont="1" applyFill="1" applyBorder="1" applyProtection="1"/>
    <xf numFmtId="1" fontId="0" fillId="0" borderId="0" xfId="0" applyNumberFormat="1" applyFont="1" applyFill="1" applyBorder="1" applyProtection="1"/>
    <xf numFmtId="1" fontId="0" fillId="0" borderId="14" xfId="0" applyNumberFormat="1" applyFont="1" applyFill="1" applyBorder="1" applyProtection="1">
      <protection locked="0"/>
    </xf>
    <xf numFmtId="2" fontId="0" fillId="0" borderId="0" xfId="0" applyNumberFormat="1" applyFont="1" applyFill="1" applyBorder="1" applyProtection="1">
      <protection locked="0"/>
    </xf>
    <xf numFmtId="14" fontId="16" fillId="2" borderId="22" xfId="0" applyNumberFormat="1" applyFont="1" applyFill="1" applyBorder="1"/>
    <xf numFmtId="0" fontId="0" fillId="0" borderId="23" xfId="0" applyFont="1" applyFill="1" applyBorder="1"/>
    <xf numFmtId="0" fontId="26" fillId="0" borderId="23" xfId="0" applyFont="1" applyFill="1" applyBorder="1"/>
    <xf numFmtId="0" fontId="23" fillId="0" borderId="24" xfId="0" applyFont="1" applyFill="1" applyBorder="1" applyAlignment="1">
      <alignment vertical="center"/>
    </xf>
    <xf numFmtId="0" fontId="0" fillId="0" borderId="25" xfId="0" applyFont="1" applyFill="1" applyBorder="1" applyProtection="1">
      <protection locked="0"/>
    </xf>
    <xf numFmtId="0" fontId="0" fillId="0" borderId="23" xfId="0" applyFont="1" applyFill="1" applyBorder="1" applyProtection="1">
      <protection locked="0"/>
    </xf>
    <xf numFmtId="0" fontId="29" fillId="0" borderId="0" xfId="0" applyFont="1" applyFill="1" applyBorder="1" applyAlignment="1">
      <alignment horizontal="center" vertical="center"/>
    </xf>
    <xf numFmtId="0" fontId="30" fillId="26" borderId="25" xfId="0" applyFont="1" applyFill="1" applyBorder="1" applyAlignment="1" applyProtection="1">
      <alignment horizontal="center" vertical="center" wrapText="1"/>
      <protection locked="0"/>
    </xf>
    <xf numFmtId="1" fontId="0" fillId="0" borderId="2" xfId="0" applyNumberFormat="1" applyFont="1" applyFill="1" applyBorder="1" applyProtection="1">
      <protection locked="0"/>
    </xf>
    <xf numFmtId="1" fontId="0" fillId="0" borderId="10" xfId="0" applyNumberFormat="1" applyFont="1" applyFill="1" applyBorder="1" applyProtection="1">
      <protection locked="0"/>
    </xf>
    <xf numFmtId="0" fontId="0" fillId="0" borderId="0" xfId="0" applyNumberFormat="1" applyFont="1" applyFill="1" applyBorder="1" applyProtection="1"/>
    <xf numFmtId="0" fontId="2" fillId="0" borderId="14" xfId="0" applyFont="1" applyFill="1" applyBorder="1" applyProtection="1">
      <protection locked="0"/>
    </xf>
    <xf numFmtId="0" fontId="15" fillId="7" borderId="14" xfId="0" applyFont="1" applyFill="1" applyBorder="1" applyAlignment="1" applyProtection="1">
      <alignment horizontal="center" vertical="center" wrapText="1"/>
      <protection locked="0"/>
    </xf>
    <xf numFmtId="0" fontId="18" fillId="25" borderId="22" xfId="0" applyNumberFormat="1" applyFont="1" applyFill="1" applyBorder="1" applyProtection="1">
      <protection locked="0"/>
    </xf>
    <xf numFmtId="0" fontId="0" fillId="0" borderId="26" xfId="0" applyFont="1" applyFill="1" applyBorder="1"/>
    <xf numFmtId="0" fontId="26" fillId="0" borderId="26" xfId="0" applyFont="1" applyFill="1" applyBorder="1"/>
    <xf numFmtId="2" fontId="23" fillId="2" borderId="27" xfId="0" applyNumberFormat="1" applyFont="1" applyFill="1" applyBorder="1" applyAlignment="1">
      <alignment horizontal="center" vertical="center"/>
    </xf>
    <xf numFmtId="2" fontId="16" fillId="0" borderId="28" xfId="0" applyNumberFormat="1" applyFont="1" applyFill="1" applyBorder="1"/>
    <xf numFmtId="0" fontId="0" fillId="22" borderId="29" xfId="0" applyFont="1" applyFill="1" applyBorder="1" applyAlignment="1" applyProtection="1">
      <alignment horizontal="center" vertical="center" wrapText="1"/>
      <protection locked="0"/>
    </xf>
    <xf numFmtId="2" fontId="16" fillId="2" borderId="29" xfId="0" applyNumberFormat="1" applyFont="1" applyFill="1" applyBorder="1" applyProtection="1"/>
    <xf numFmtId="0" fontId="0" fillId="0" borderId="26" xfId="0" applyFont="1" applyFill="1" applyBorder="1" applyProtection="1"/>
    <xf numFmtId="4" fontId="16" fillId="0" borderId="2" xfId="0" applyNumberFormat="1" applyFont="1" applyFill="1" applyBorder="1" applyProtection="1">
      <protection locked="0"/>
    </xf>
    <xf numFmtId="4" fontId="18" fillId="0" borderId="2" xfId="0" applyNumberFormat="1" applyFont="1" applyFill="1" applyBorder="1" applyProtection="1">
      <protection locked="0"/>
    </xf>
    <xf numFmtId="4" fontId="0" fillId="0" borderId="0" xfId="0" applyNumberFormat="1" applyFont="1" applyFill="1" applyBorder="1" applyProtection="1">
      <protection locked="0"/>
    </xf>
    <xf numFmtId="0" fontId="5" fillId="16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Protection="1">
      <protection locked="0"/>
    </xf>
    <xf numFmtId="14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Protection="1">
      <protection locked="0"/>
    </xf>
    <xf numFmtId="0" fontId="4" fillId="0" borderId="0" xfId="0" applyFont="1" applyProtection="1">
      <protection locked="0"/>
    </xf>
    <xf numFmtId="0" fontId="0" fillId="0" borderId="25" xfId="0" applyFont="1" applyFill="1" applyBorder="1" applyAlignment="1" applyProtection="1">
      <alignment vertical="center"/>
      <protection locked="0"/>
    </xf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2" xfId="0" applyFont="1" applyFill="1" applyBorder="1" applyAlignment="1" applyProtection="1">
      <alignment vertical="center"/>
      <protection locked="0"/>
    </xf>
    <xf numFmtId="0" fontId="0" fillId="0" borderId="30" xfId="0" applyFont="1" applyFill="1" applyBorder="1" applyProtection="1">
      <protection locked="0"/>
    </xf>
    <xf numFmtId="0" fontId="0" fillId="0" borderId="31" xfId="0" applyFont="1" applyFill="1" applyBorder="1" applyProtection="1">
      <protection locked="0"/>
    </xf>
    <xf numFmtId="1" fontId="0" fillId="0" borderId="2" xfId="0" applyNumberFormat="1" applyFont="1" applyFill="1" applyBorder="1" applyAlignment="1" applyProtection="1">
      <alignment vertical="center"/>
      <protection locked="0"/>
    </xf>
    <xf numFmtId="1" fontId="0" fillId="0" borderId="10" xfId="0" applyNumberFormat="1" applyFont="1" applyFill="1" applyBorder="1" applyAlignment="1" applyProtection="1">
      <alignment vertical="center"/>
      <protection locked="0"/>
    </xf>
    <xf numFmtId="0" fontId="0" fillId="0" borderId="2" xfId="0" applyFont="1" applyFill="1" applyBorder="1" applyAlignment="1" applyProtection="1">
      <alignment vertical="center" wrapText="1"/>
      <protection locked="0"/>
    </xf>
    <xf numFmtId="0" fontId="0" fillId="5" borderId="2" xfId="0" applyFont="1" applyFill="1" applyBorder="1" applyAlignment="1" applyProtection="1">
      <alignment horizontal="center"/>
      <protection locked="0"/>
    </xf>
    <xf numFmtId="0" fontId="0" fillId="0" borderId="2" xfId="0" quotePrefix="1" applyFont="1" applyFill="1" applyBorder="1" applyAlignment="1" applyProtection="1">
      <alignment horizontal="center" vertical="center"/>
      <protection locked="0"/>
    </xf>
    <xf numFmtId="0" fontId="0" fillId="0" borderId="10" xfId="0" applyFont="1" applyFill="1" applyBorder="1" applyAlignment="1" applyProtection="1">
      <alignment vertical="center"/>
      <protection locked="0"/>
    </xf>
    <xf numFmtId="0" fontId="0" fillId="5" borderId="2" xfId="0" applyFont="1" applyFill="1" applyBorder="1" applyAlignment="1" applyProtection="1">
      <alignment vertical="center"/>
      <protection locked="0"/>
    </xf>
    <xf numFmtId="0" fontId="0" fillId="5" borderId="2" xfId="0" applyFont="1" applyFill="1" applyBorder="1" applyAlignment="1" applyProtection="1">
      <alignment horizontal="center" vertical="center"/>
      <protection locked="0"/>
    </xf>
    <xf numFmtId="44" fontId="0" fillId="0" borderId="12" xfId="4" applyFont="1" applyFill="1" applyBorder="1" applyProtection="1">
      <protection locked="0"/>
    </xf>
    <xf numFmtId="44" fontId="0" fillId="0" borderId="12" xfId="4" applyFont="1" applyFill="1" applyBorder="1" applyAlignment="1" applyProtection="1">
      <alignment vertical="center"/>
      <protection locked="0"/>
    </xf>
    <xf numFmtId="0" fontId="0" fillId="0" borderId="14" xfId="0" applyFont="1" applyFill="1" applyBorder="1" applyAlignment="1" applyProtection="1">
      <alignment vertical="center"/>
      <protection locked="0"/>
    </xf>
    <xf numFmtId="0" fontId="0" fillId="5" borderId="14" xfId="0" applyFont="1" applyFill="1" applyBorder="1" applyAlignment="1" applyProtection="1">
      <alignment vertical="center"/>
      <protection locked="0"/>
    </xf>
    <xf numFmtId="1" fontId="0" fillId="0" borderId="14" xfId="0" applyNumberFormat="1" applyFont="1" applyFill="1" applyBorder="1" applyAlignment="1" applyProtection="1">
      <alignment vertical="center"/>
      <protection locked="0"/>
    </xf>
    <xf numFmtId="0" fontId="1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4" fillId="0" borderId="16" xfId="0" applyFont="1" applyFill="1" applyBorder="1" applyAlignment="1">
      <alignment horizontal="center" vertical="center"/>
    </xf>
    <xf numFmtId="0" fontId="15" fillId="5" borderId="2" xfId="0" applyFont="1" applyFill="1" applyBorder="1" applyAlignment="1" applyProtection="1">
      <alignment horizontal="center"/>
      <protection locked="0"/>
    </xf>
    <xf numFmtId="0" fontId="15" fillId="5" borderId="2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>
      <alignment wrapText="1"/>
    </xf>
    <xf numFmtId="0" fontId="26" fillId="0" borderId="0" xfId="0" applyFont="1" applyFill="1" applyBorder="1" applyAlignment="1">
      <alignment wrapText="1"/>
    </xf>
    <xf numFmtId="0" fontId="23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 applyProtection="1">
      <alignment wrapText="1"/>
      <protection locked="0"/>
    </xf>
    <xf numFmtId="0" fontId="0" fillId="23" borderId="14" xfId="0" applyFont="1" applyFill="1" applyBorder="1" applyAlignment="1" applyProtection="1">
      <alignment horizontal="center" vertical="center" wrapText="1"/>
      <protection locked="0"/>
    </xf>
    <xf numFmtId="1" fontId="18" fillId="2" borderId="22" xfId="0" applyNumberFormat="1" applyFont="1" applyFill="1" applyBorder="1" applyProtection="1"/>
    <xf numFmtId="0" fontId="0" fillId="0" borderId="32" xfId="0" applyFont="1" applyFill="1" applyBorder="1" applyAlignment="1">
      <alignment horizontal="center" vertical="center" wrapText="1"/>
    </xf>
    <xf numFmtId="0" fontId="0" fillId="0" borderId="32" xfId="0" applyFont="1" applyFill="1" applyBorder="1" applyAlignment="1" applyProtection="1">
      <alignment wrapText="1"/>
      <protection locked="0"/>
    </xf>
    <xf numFmtId="0" fontId="0" fillId="0" borderId="32" xfId="0" applyFont="1" applyFill="1" applyBorder="1" applyProtection="1">
      <protection locked="0"/>
    </xf>
    <xf numFmtId="0" fontId="30" fillId="0" borderId="32" xfId="0" applyFont="1" applyFill="1" applyBorder="1" applyAlignment="1">
      <alignment horizontal="center" vertical="center" wrapText="1"/>
    </xf>
    <xf numFmtId="0" fontId="30" fillId="0" borderId="32" xfId="0" applyFont="1" applyFill="1" applyBorder="1" applyAlignment="1" applyProtection="1">
      <alignment horizontal="center"/>
      <protection locked="0"/>
    </xf>
    <xf numFmtId="166" fontId="30" fillId="0" borderId="32" xfId="0" applyNumberFormat="1" applyFont="1" applyFill="1" applyBorder="1" applyAlignment="1" applyProtection="1">
      <alignment horizontal="center"/>
      <protection locked="0"/>
    </xf>
    <xf numFmtId="0" fontId="31" fillId="0" borderId="25" xfId="0" applyFont="1" applyFill="1" applyBorder="1" applyProtection="1">
      <protection locked="0"/>
    </xf>
    <xf numFmtId="166" fontId="0" fillId="0" borderId="32" xfId="0" applyNumberFormat="1" applyFont="1" applyFill="1" applyBorder="1" applyAlignment="1" applyProtection="1">
      <alignment horizontal="center"/>
      <protection locked="0"/>
    </xf>
    <xf numFmtId="44" fontId="0" fillId="0" borderId="0" xfId="4" applyFont="1" applyFill="1" applyBorder="1"/>
    <xf numFmtId="44" fontId="26" fillId="0" borderId="0" xfId="4" applyFont="1" applyFill="1" applyBorder="1"/>
    <xf numFmtId="44" fontId="23" fillId="2" borderId="16" xfId="4" applyFont="1" applyFill="1" applyBorder="1" applyAlignment="1">
      <alignment vertical="center"/>
    </xf>
    <xf numFmtId="44" fontId="0" fillId="22" borderId="12" xfId="4" applyFont="1" applyFill="1" applyBorder="1" applyAlignment="1" applyProtection="1">
      <alignment horizontal="center" vertical="center" wrapText="1"/>
      <protection locked="0"/>
    </xf>
    <xf numFmtId="44" fontId="18" fillId="2" borderId="12" xfId="4" applyFont="1" applyFill="1" applyBorder="1" applyProtection="1"/>
    <xf numFmtId="44" fontId="0" fillId="0" borderId="0" xfId="4" applyFont="1" applyFill="1" applyBorder="1" applyProtection="1"/>
    <xf numFmtId="44" fontId="23" fillId="2" borderId="16" xfId="4" applyFont="1" applyFill="1" applyBorder="1" applyAlignment="1">
      <alignment horizontal="center" vertical="center"/>
    </xf>
    <xf numFmtId="44" fontId="0" fillId="22" borderId="2" xfId="4" applyFont="1" applyFill="1" applyBorder="1" applyAlignment="1" applyProtection="1">
      <alignment horizontal="center" vertical="center" wrapText="1"/>
      <protection locked="0"/>
    </xf>
    <xf numFmtId="44" fontId="16" fillId="0" borderId="2" xfId="4" applyFont="1" applyFill="1" applyBorder="1" applyProtection="1">
      <protection locked="0"/>
    </xf>
    <xf numFmtId="44" fontId="0" fillId="0" borderId="0" xfId="4" applyFont="1" applyFill="1" applyBorder="1" applyProtection="1">
      <protection locked="0"/>
    </xf>
    <xf numFmtId="0" fontId="21" fillId="9" borderId="6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 wrapText="1"/>
    </xf>
    <xf numFmtId="0" fontId="21" fillId="11" borderId="8" xfId="0" applyFont="1" applyFill="1" applyBorder="1" applyAlignment="1">
      <alignment horizontal="center" vertical="center" wrapText="1"/>
    </xf>
    <xf numFmtId="0" fontId="21" fillId="11" borderId="6" xfId="0" applyFont="1" applyFill="1" applyBorder="1" applyAlignment="1">
      <alignment horizontal="center" vertical="center" wrapText="1"/>
    </xf>
    <xf numFmtId="0" fontId="21" fillId="24" borderId="0" xfId="0" applyFont="1" applyFill="1" applyBorder="1" applyAlignment="1">
      <alignment horizontal="center" vertical="center" wrapText="1"/>
    </xf>
    <xf numFmtId="0" fontId="21" fillId="15" borderId="6" xfId="0" applyFont="1" applyFill="1" applyBorder="1" applyAlignment="1">
      <alignment horizontal="center" vertical="center" wrapText="1"/>
    </xf>
    <xf numFmtId="0" fontId="21" fillId="16" borderId="6" xfId="0" applyFont="1" applyFill="1" applyBorder="1" applyAlignment="1">
      <alignment horizontal="center" vertical="center" wrapText="1"/>
    </xf>
    <xf numFmtId="0" fontId="22" fillId="17" borderId="6" xfId="0" applyFont="1" applyFill="1" applyBorder="1" applyAlignment="1">
      <alignment horizontal="center" vertical="center" wrapText="1"/>
    </xf>
    <xf numFmtId="0" fontId="21" fillId="12" borderId="6" xfId="0" applyFont="1" applyFill="1" applyBorder="1" applyAlignment="1">
      <alignment horizontal="center" vertical="center" wrapText="1"/>
    </xf>
    <xf numFmtId="0" fontId="21" fillId="19" borderId="6" xfId="0" applyFont="1" applyFill="1" applyBorder="1" applyAlignment="1">
      <alignment horizontal="center" vertical="center" wrapText="1"/>
    </xf>
    <xf numFmtId="0" fontId="21" fillId="8" borderId="6" xfId="0" applyFont="1" applyFill="1" applyBorder="1" applyAlignment="1">
      <alignment horizontal="center" vertical="center" wrapText="1"/>
    </xf>
    <xf numFmtId="0" fontId="21" fillId="20" borderId="6" xfId="0" applyFont="1" applyFill="1" applyBorder="1" applyAlignment="1">
      <alignment horizontal="center" vertical="center" wrapText="1"/>
    </xf>
    <xf numFmtId="0" fontId="21" fillId="9" borderId="0" xfId="0" applyFont="1" applyFill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20" borderId="0" xfId="0" applyFont="1" applyFill="1" applyBorder="1" applyAlignment="1">
      <alignment horizontal="center" vertical="center" wrapText="1"/>
    </xf>
    <xf numFmtId="14" fontId="0" fillId="0" borderId="32" xfId="0" applyNumberFormat="1" applyFont="1" applyFill="1" applyBorder="1" applyProtection="1">
      <protection locked="0"/>
    </xf>
    <xf numFmtId="14" fontId="31" fillId="0" borderId="32" xfId="0" applyNumberFormat="1" applyFont="1" applyFill="1" applyBorder="1" applyProtection="1">
      <protection locked="0"/>
    </xf>
  </cellXfs>
  <cellStyles count="5">
    <cellStyle name="Euro" xfId="2"/>
    <cellStyle name="Monétaire" xfId="4" builtinId="4"/>
    <cellStyle name="Normal" xfId="0" builtinId="0"/>
    <cellStyle name="Normal 2" xfId="1"/>
    <cellStyle name="Pourcentage" xfId="3" builtinId="5"/>
  </cellStyles>
  <dxfs count="15">
    <dxf>
      <font>
        <color rgb="FF008000"/>
      </font>
      <fill>
        <patternFill patternType="solid">
          <fgColor auto="1"/>
          <bgColor theme="0" tint="-0.14996795556505021"/>
        </patternFill>
      </fill>
    </dxf>
    <dxf>
      <font>
        <color theme="9" tint="-0.24994659260841701"/>
      </font>
      <fill>
        <patternFill patternType="solid">
          <fgColor auto="1"/>
          <bgColor theme="0" tint="-0.14996795556505021"/>
        </patternFill>
      </fill>
    </dxf>
    <dxf>
      <font>
        <color rgb="FF91283C"/>
      </font>
      <fill>
        <patternFill patternType="solid">
          <fgColor rgb="FFBE0000"/>
          <bgColor theme="0" tint="-0.14996795556505021"/>
        </patternFill>
      </fill>
    </dxf>
    <dxf>
      <font>
        <color rgb="FF008000"/>
      </font>
      <fill>
        <patternFill patternType="solid">
          <fgColor auto="1"/>
          <bgColor theme="0" tint="-0.14996795556505021"/>
        </patternFill>
      </fill>
    </dxf>
    <dxf>
      <font>
        <color theme="9" tint="-0.24994659260841701"/>
      </font>
      <fill>
        <patternFill patternType="solid">
          <fgColor auto="1"/>
          <bgColor theme="0" tint="-0.14996795556505021"/>
        </patternFill>
      </fill>
    </dxf>
    <dxf>
      <font>
        <color rgb="FF91283C"/>
      </font>
      <fill>
        <patternFill patternType="solid">
          <fgColor rgb="FFBE0000"/>
          <bgColor theme="0" tint="-0.14996795556505021"/>
        </patternFill>
      </fill>
    </dxf>
    <dxf>
      <font>
        <b/>
        <i val="0"/>
        <color rgb="FF008000"/>
      </font>
    </dxf>
    <dxf>
      <font>
        <b/>
        <i val="0"/>
        <color theme="9" tint="-0.24994659260841701"/>
      </font>
    </dxf>
    <dxf>
      <font>
        <b/>
        <i val="0"/>
        <color rgb="FFBE0000"/>
      </font>
    </dxf>
    <dxf>
      <font>
        <color rgb="FF008000"/>
      </font>
      <fill>
        <patternFill patternType="solid">
          <fgColor auto="1"/>
          <bgColor theme="0" tint="-0.14996795556505021"/>
        </patternFill>
      </fill>
    </dxf>
    <dxf>
      <font>
        <color theme="9" tint="-0.24994659260841701"/>
      </font>
      <fill>
        <patternFill patternType="solid">
          <fgColor auto="1"/>
          <bgColor theme="0" tint="-0.14996795556505021"/>
        </patternFill>
      </fill>
    </dxf>
    <dxf>
      <font>
        <color rgb="FF91283C"/>
      </font>
      <fill>
        <patternFill patternType="solid">
          <fgColor rgb="FFBE0000"/>
          <bgColor theme="0" tint="-0.14996795556505021"/>
        </patternFill>
      </fill>
    </dxf>
    <dxf>
      <font>
        <color rgb="FF008000"/>
      </font>
      <fill>
        <gradientFill degree="90">
          <stop position="0">
            <color theme="0"/>
          </stop>
          <stop position="1">
            <color theme="0"/>
          </stop>
        </gradientFill>
      </fill>
    </dxf>
    <dxf>
      <font>
        <color theme="9" tint="-0.24994659260841701"/>
      </font>
      <fill>
        <patternFill patternType="solid">
          <fgColor auto="1"/>
          <bgColor theme="0" tint="-0.14996795556505021"/>
        </patternFill>
      </fill>
    </dxf>
    <dxf>
      <font>
        <color rgb="FF91283C"/>
      </font>
      <fill>
        <patternFill patternType="solid">
          <fgColor rgb="FFBE0000"/>
          <bgColor theme="0" tint="-0.14996795556505021"/>
        </patternFill>
      </fill>
    </dxf>
  </dxfs>
  <tableStyles count="0" defaultTableStyle="TableStyleMedium2" defaultPivotStyle="PivotStyleLight16"/>
  <colors>
    <mruColors>
      <color rgb="FFFFFF99"/>
      <color rgb="FFBE0000"/>
      <color rgb="FF008000"/>
      <color rgb="FF91283C"/>
      <color rgb="FFDA9694"/>
      <color rgb="FF006EBE"/>
      <color rgb="FFFFC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0</xdr:row>
          <xdr:rowOff>257175</xdr:rowOff>
        </xdr:from>
        <xdr:to>
          <xdr:col>12</xdr:col>
          <xdr:colOff>752475</xdr:colOff>
          <xdr:row>1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MISE A JOUR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85725</xdr:rowOff>
    </xdr:from>
    <xdr:to>
      <xdr:col>13</xdr:col>
      <xdr:colOff>419100</xdr:colOff>
      <xdr:row>8</xdr:row>
      <xdr:rowOff>28575</xdr:rowOff>
    </xdr:to>
    <xdr:pic>
      <xdr:nvPicPr>
        <xdr:cNvPr id="2" name="Imag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0" y="685800"/>
          <a:ext cx="3390900" cy="127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JARS Marc" refreshedDate="42692.622492939816" createdVersion="4" refreshedVersion="4" minRefreshableVersion="3" recordCount="999">
  <cacheSource type="worksheet">
    <worksheetSource ref="A2:J1048576" sheet="EDC - TABLE SINISTRE"/>
  </cacheSource>
  <cacheFields count="10">
    <cacheField name="REF_IDENTIFIANT_IMMEUBLE" numFmtId="0">
      <sharedItems containsString="0" containsBlank="1" containsNumber="1" containsInteger="1" minValue="1" maxValue="167" count="109">
        <n v="31"/>
        <n v="12"/>
        <n v="22"/>
        <n v="26"/>
        <n v="20"/>
        <n v="13"/>
        <n v="9"/>
        <n v="25"/>
        <n v="17"/>
        <n v="11"/>
        <n v="3"/>
        <n v="28"/>
        <n v="24"/>
        <n v="2"/>
        <m/>
        <n v="7" u="1"/>
        <n v="109" u="1"/>
        <n v="69" u="1"/>
        <n v="33" u="1"/>
        <n v="95" u="1"/>
        <n v="68" u="1"/>
        <n v="46" u="1"/>
        <n v="29" u="1"/>
        <n v="19" u="1"/>
        <n v="81" u="1"/>
        <n v="167" u="1"/>
        <n v="94" u="1"/>
        <n v="59" u="1"/>
        <n v="39" u="1"/>
        <n v="67" u="1"/>
        <n v="80" u="1"/>
        <n v="52" u="1"/>
        <n v="32" u="1"/>
        <n v="14" u="1"/>
        <n v="6" u="1"/>
        <n v="93" u="1"/>
        <n v="1" u="1"/>
        <n v="66" u="1"/>
        <n v="45" u="1"/>
        <n v="119" u="1"/>
        <n v="79" u="1"/>
        <n v="92" u="1"/>
        <n v="58" u="1"/>
        <n v="38" u="1"/>
        <n v="105" u="1"/>
        <n v="118" u="1"/>
        <n v="78" u="1"/>
        <n v="51" u="1"/>
        <n v="91" u="1"/>
        <n v="64" u="1"/>
        <n v="44" u="1"/>
        <n v="5" u="1"/>
        <n v="117" u="1"/>
        <n v="77" u="1"/>
        <n v="132" u="1"/>
        <n v="90" u="1"/>
        <n v="57" u="1"/>
        <n v="37" u="1"/>
        <n v="158" u="1"/>
        <n v="103" u="1"/>
        <n v="116" u="1"/>
        <n v="76" u="1"/>
        <n v="50" u="1"/>
        <n v="21" u="1"/>
        <n v="89" u="1"/>
        <n v="102" u="1"/>
        <n v="115" u="1"/>
        <n v="75" u="1"/>
        <n v="88" u="1"/>
        <n v="56" u="1"/>
        <n v="36" u="1"/>
        <n v="10" u="1"/>
        <n v="4" u="1"/>
        <n v="101" u="1"/>
        <n v="114" u="1"/>
        <n v="74" u="1"/>
        <n v="49" u="1"/>
        <n v="87" u="1"/>
        <n v="100" u="1"/>
        <n v="62" u="1"/>
        <n v="42" u="1"/>
        <n v="113" u="1"/>
        <n v="73" u="1"/>
        <n v="86" u="1"/>
        <n v="55" u="1"/>
        <n v="35" u="1"/>
        <n v="99" u="1"/>
        <n v="112" u="1"/>
        <n v="72" u="1"/>
        <n v="30" u="1"/>
        <n v="8" u="1"/>
        <n v="85" u="1"/>
        <n v="61" u="1"/>
        <n v="41" u="1"/>
        <n v="111" u="1"/>
        <n v="71" u="1"/>
        <n v="84" u="1"/>
        <n v="54" u="1"/>
        <n v="34" u="1"/>
        <n v="23" u="1"/>
        <n v="97" u="1"/>
        <n v="110" u="1"/>
        <n v="70" u="1"/>
        <n v="47" u="1"/>
        <n v="83" u="1"/>
        <n v="96" u="1"/>
        <n v="60" u="1"/>
        <n v="40" u="1"/>
        <n v="16" u="1"/>
      </sharedItems>
    </cacheField>
    <cacheField name="PROSPECT" numFmtId="0">
      <sharedItems containsBlank="1"/>
    </cacheField>
    <cacheField name="AGENCE_PROSPECT" numFmtId="0">
      <sharedItems containsBlank="1"/>
    </cacheField>
    <cacheField name="ADRESSE_IMMEUBLE" numFmtId="0">
      <sharedItems containsBlank="1"/>
    </cacheField>
    <cacheField name="ANNEE" numFmtId="0">
      <sharedItems containsString="0" containsBlank="1" containsNumber="1" containsInteger="1" minValue="2013" maxValue="2016"/>
    </cacheField>
    <cacheField name="NATURE" numFmtId="0">
      <sharedItems containsBlank="1"/>
    </cacheField>
    <cacheField name="NOMBRE_DE_SINISTRES" numFmtId="0">
      <sharedItems containsBlank="1" containsMixedTypes="1" containsNumber="1" containsInteger="1" minValue="1" maxValue="1"/>
    </cacheField>
    <cacheField name="EVALUATION_CHARGE_SINISTRES_" numFmtId="1">
      <sharedItems containsString="0" containsBlank="1" containsNumber="1" containsInteger="1" minValue="0" maxValue="2600"/>
    </cacheField>
    <cacheField name="REGLEMENT_CHARGE_SINISTRES" numFmtId="1">
      <sharedItems containsString="0" containsBlank="1" containsNumber="1" containsInteger="1" minValue="0" maxValue="9543"/>
    </cacheField>
    <cacheField name="CHARGE_SINISTRES_TOTALE" numFmtId="1">
      <sharedItems containsBlank="1" containsMixedTypes="1" containsNumber="1" containsInteger="1" minValue="0" maxValue="95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">
  <r>
    <x v="0"/>
    <s v="GROUPE DEBAYLE"/>
    <s v="DEBAYLE PARIS"/>
    <s v="262/264/266 RUE ST HONORE"/>
    <n v="2015"/>
    <s v="DDE"/>
    <n v="1"/>
    <n v="0"/>
    <n v="300"/>
    <n v="300"/>
  </r>
  <r>
    <x v="0"/>
    <s v="GROUPE DEBAYLE"/>
    <s v="DEBAYLE PARIS"/>
    <s v="262/264/266 RUE ST HONORE"/>
    <n v="2013"/>
    <s v="VOL"/>
    <n v="1"/>
    <n v="0"/>
    <n v="616"/>
    <n v="616"/>
  </r>
  <r>
    <x v="0"/>
    <s v="GROUPE DEBAYLE"/>
    <s v="DEBAYLE PARIS"/>
    <s v="262/264/266 RUE ST HONORE"/>
    <n v="2013"/>
    <s v="VAND"/>
    <n v="1"/>
    <n v="0"/>
    <n v="345"/>
    <n v="345"/>
  </r>
  <r>
    <x v="1"/>
    <s v="GROUPE DEBAYLE"/>
    <s v="DEBAYLE PARIS"/>
    <s v="16 RUE DU BAC"/>
    <n v="2016"/>
    <s v="DDE"/>
    <n v="1"/>
    <n v="0"/>
    <n v="203"/>
    <n v="203"/>
  </r>
  <r>
    <x v="1"/>
    <s v="GROUPE DEBAYLE"/>
    <s v="DEBAYLE PARIS"/>
    <s v="16 RUE DU BAC"/>
    <n v="2014"/>
    <s v="VOL"/>
    <n v="1"/>
    <n v="0"/>
    <n v="3196"/>
    <n v="3196"/>
  </r>
  <r>
    <x v="2"/>
    <s v="GROUPE DEBAYLE"/>
    <s v="DEBAYLE PARIS"/>
    <s v="17 RUE MOLIERE"/>
    <n v="2014"/>
    <s v="DDE"/>
    <n v="1"/>
    <n v="0"/>
    <n v="212"/>
    <n v="212"/>
  </r>
  <r>
    <x v="2"/>
    <s v="GROUPE DEBAYLE"/>
    <s v="DEBAYLE PARIS"/>
    <s v="17 RUE MOLIERE"/>
    <n v="2014"/>
    <s v="DDE"/>
    <n v="1"/>
    <n v="0"/>
    <n v="0"/>
    <n v="0"/>
  </r>
  <r>
    <x v="2"/>
    <s v="GROUPE DEBAYLE"/>
    <s v="DEBAYLE PARIS"/>
    <s v="17 RUE MOLIERE"/>
    <n v="2014"/>
    <s v="VOL"/>
    <n v="1"/>
    <n v="0"/>
    <n v="1716"/>
    <n v="1716"/>
  </r>
  <r>
    <x v="2"/>
    <s v="GROUPE DEBAYLE"/>
    <s v="DEBAYLE PARIS"/>
    <s v="17 RUE MOLIERE"/>
    <n v="2014"/>
    <s v="VOL"/>
    <n v="1"/>
    <n v="0"/>
    <n v="4128"/>
    <n v="4128"/>
  </r>
  <r>
    <x v="2"/>
    <s v="GROUPE DEBAYLE"/>
    <s v="DEBAYLE PARIS"/>
    <s v="17 RUE MOLIERE"/>
    <n v="2013"/>
    <s v="DDE"/>
    <n v="1"/>
    <n v="0"/>
    <n v="9543"/>
    <n v="9543"/>
  </r>
  <r>
    <x v="3"/>
    <s v="GROUPE DEBAYLE"/>
    <s v="DEBAYLE PARIS"/>
    <s v="8 RUE J-B PIGALLE"/>
    <n v="2015"/>
    <s v="DDE"/>
    <n v="1"/>
    <n v="1600"/>
    <n v="0"/>
    <n v="1600"/>
  </r>
  <r>
    <x v="4"/>
    <s v="GROUPE DEBAYLE"/>
    <s v="DEBAYLE PARIS"/>
    <s v="6 AVENUE ALPHONSE XIII"/>
    <n v="2013"/>
    <s v="DDE"/>
    <n v="1"/>
    <n v="0"/>
    <n v="5077"/>
    <n v="5077"/>
  </r>
  <r>
    <x v="4"/>
    <s v="GROUPE DEBAYLE"/>
    <s v="DEBAYLE PARIS"/>
    <s v="6 AVENUE ALPHONSE XIII"/>
    <n v="2013"/>
    <s v="DDE"/>
    <n v="1"/>
    <n v="0"/>
    <n v="2436"/>
    <n v="2436"/>
  </r>
  <r>
    <x v="4"/>
    <s v="GROUPE DEBAYLE"/>
    <s v="DEBAYLE PARIS"/>
    <s v="6 AVENUE ALPHONSE XIII"/>
    <n v="2013"/>
    <s v="DDE"/>
    <n v="1"/>
    <n v="0"/>
    <n v="422"/>
    <n v="422"/>
  </r>
  <r>
    <x v="4"/>
    <s v="GROUPE DEBAYLE"/>
    <s v="DEBAYLE PARIS"/>
    <s v="6 AVENUE ALPHONSE XIII"/>
    <n v="2014"/>
    <s v="DDE"/>
    <n v="1"/>
    <n v="0"/>
    <n v="205"/>
    <n v="205"/>
  </r>
  <r>
    <x v="4"/>
    <s v="GROUPE DEBAYLE"/>
    <s v="DEBAYLE PARIS"/>
    <s v="6 AVENUE ALPHONSE XIII"/>
    <n v="2016"/>
    <s v="DDE"/>
    <n v="1"/>
    <n v="2600"/>
    <n v="0"/>
    <n v="2600"/>
  </r>
  <r>
    <x v="5"/>
    <s v="GROUPE DEBAYLE"/>
    <s v="DEBAYLE PARIS"/>
    <s v="15 SQUARE CARPEAUX"/>
    <n v="2015"/>
    <s v="DDE"/>
    <n v="1"/>
    <n v="0"/>
    <n v="1416"/>
    <n v="1416"/>
  </r>
  <r>
    <x v="5"/>
    <s v="GROUPE DEBAYLE"/>
    <s v="DEBAYLE PARIS"/>
    <s v="15 SQUARE CARPEAUX"/>
    <n v="2015"/>
    <s v="DDE"/>
    <n v="1"/>
    <n v="640"/>
    <n v="3814"/>
    <n v="4454"/>
  </r>
  <r>
    <x v="5"/>
    <s v="GROUPE DEBAYLE"/>
    <s v="DEBAYLE PARIS"/>
    <s v="15 SQUARE CARPEAUX"/>
    <n v="2016"/>
    <s v="DDE"/>
    <n v="1"/>
    <n v="0"/>
    <n v="456"/>
    <n v="456"/>
  </r>
  <r>
    <x v="6"/>
    <s v="GROUPE DEBAYLE"/>
    <s v="DEBAYLE PARIS"/>
    <s v="15 RUE DU POTEAU"/>
    <n v="2013"/>
    <s v="DDE"/>
    <n v="1"/>
    <n v="500"/>
    <n v="0"/>
    <n v="500"/>
  </r>
  <r>
    <x v="6"/>
    <s v="GROUPE DEBAYLE"/>
    <s v="DEBAYLE PARIS"/>
    <s v="15 RUE DU POTEAU"/>
    <n v="2013"/>
    <s v="DDE"/>
    <n v="1"/>
    <n v="1610"/>
    <n v="2385"/>
    <n v="3995"/>
  </r>
  <r>
    <x v="6"/>
    <s v="GROUPE DEBAYLE"/>
    <s v="DEBAYLE PARIS"/>
    <s v="15 RUE DU POTEAU"/>
    <n v="2013"/>
    <s v="DDE"/>
    <n v="1"/>
    <n v="847"/>
    <n v="0"/>
    <n v="847"/>
  </r>
  <r>
    <x v="6"/>
    <s v="GROUPE DEBAYLE"/>
    <s v="DEBAYLE PARIS"/>
    <s v="15 RUE DU POTEAU"/>
    <n v="2013"/>
    <s v="BDG"/>
    <n v="1"/>
    <n v="0"/>
    <n v="149"/>
    <n v="149"/>
  </r>
  <r>
    <x v="6"/>
    <s v="GROUPE DEBAYLE"/>
    <s v="DEBAYLE PARIS"/>
    <s v="15 RUE DU POTEAU"/>
    <n v="2015"/>
    <s v="DDE"/>
    <n v="1"/>
    <n v="810"/>
    <n v="0"/>
    <n v="810"/>
  </r>
  <r>
    <x v="7"/>
    <s v="GROUPE DEBAYLE"/>
    <s v="DEBAYLE PARIS"/>
    <s v="39 RUE PROUDHON"/>
    <n v="2013"/>
    <s v="DDE"/>
    <n v="1"/>
    <n v="0"/>
    <n v="158"/>
    <n v="158"/>
  </r>
  <r>
    <x v="8"/>
    <s v="GROUPE DEBAYLE"/>
    <s v="DEBAYLE PARIS"/>
    <s v="32 / 34 RUE SAINT LAZARE"/>
    <n v="2015"/>
    <s v="DDE"/>
    <n v="1"/>
    <n v="0"/>
    <n v="0"/>
    <n v="0"/>
  </r>
  <r>
    <x v="8"/>
    <s v="GROUPE DEBAYLE"/>
    <s v="DEBAYLE PARIS"/>
    <s v="32 / 34 RUE SAINT LAZARE"/>
    <n v="2015"/>
    <s v="DDE"/>
    <n v="1"/>
    <n v="0"/>
    <n v="2111"/>
    <n v="2111"/>
  </r>
  <r>
    <x v="9"/>
    <s v="GROUPE DEBAYLE"/>
    <s v="DEBAYLE PARIS"/>
    <s v="16/18 RUE ST LAZARE"/>
    <n v="2015"/>
    <s v="DDE"/>
    <n v="1"/>
    <n v="0"/>
    <n v="0"/>
    <n v="0"/>
  </r>
  <r>
    <x v="9"/>
    <s v="GROUPE DEBAYLE"/>
    <s v="DEBAYLE PARIS"/>
    <s v="16/18 RUE ST LAZARE"/>
    <n v="2015"/>
    <s v="DDE"/>
    <n v="1"/>
    <n v="1714"/>
    <n v="0"/>
    <n v="1714"/>
  </r>
  <r>
    <x v="9"/>
    <s v="GROUPE DEBAYLE"/>
    <s v="DEBAYLE PARIS"/>
    <s v="16/18 RUE ST LAZARE"/>
    <n v="2014"/>
    <s v="DDE"/>
    <n v="1"/>
    <n v="0"/>
    <n v="4886"/>
    <n v="4886"/>
  </r>
  <r>
    <x v="9"/>
    <s v="GROUPE DEBAYLE"/>
    <s v="DEBAYLE PARIS"/>
    <s v="16/18 RUE ST LAZARE"/>
    <n v="2014"/>
    <s v="DDE"/>
    <n v="1"/>
    <n v="1680"/>
    <n v="0"/>
    <n v="1680"/>
  </r>
  <r>
    <x v="9"/>
    <s v="GROUPE DEBAYLE"/>
    <s v="DEBAYLE PARIS"/>
    <s v="16/18 RUE ST LAZARE"/>
    <n v="2013"/>
    <s v="DDE"/>
    <n v="1"/>
    <n v="0"/>
    <n v="0"/>
    <n v="0"/>
  </r>
  <r>
    <x v="9"/>
    <s v="GROUPE DEBAYLE"/>
    <s v="DEBAYLE PARIS"/>
    <s v="16/18 RUE ST LAZARE"/>
    <n v="2013"/>
    <s v="DDE"/>
    <n v="1"/>
    <n v="0"/>
    <n v="428"/>
    <n v="428"/>
  </r>
  <r>
    <x v="9"/>
    <s v="GROUPE DEBAYLE"/>
    <s v="DEBAYLE PARIS"/>
    <s v="16/18 RUE ST LAZARE"/>
    <n v="2013"/>
    <s v="DDE"/>
    <n v="1"/>
    <n v="0"/>
    <n v="1670"/>
    <n v="1670"/>
  </r>
  <r>
    <x v="9"/>
    <s v="GROUPE DEBAYLE"/>
    <s v="DEBAYLE PARIS"/>
    <s v="16/18 RUE ST LAZARE"/>
    <n v="2013"/>
    <s v="DDE"/>
    <n v="1"/>
    <n v="0"/>
    <n v="3702"/>
    <n v="3702"/>
  </r>
  <r>
    <x v="9"/>
    <s v="GROUPE DEBAYLE"/>
    <s v="DEBAYLE PARIS"/>
    <s v="16/18 RUE ST LAZARE"/>
    <n v="2013"/>
    <s v="DDE"/>
    <n v="1"/>
    <n v="0"/>
    <n v="1312"/>
    <n v="1312"/>
  </r>
  <r>
    <x v="9"/>
    <s v="GROUPE DEBAYLE"/>
    <s v="DEBAYLE PARIS"/>
    <s v="16/18 RUE ST LAZARE"/>
    <n v="2013"/>
    <s v="DDE"/>
    <n v="1"/>
    <n v="0"/>
    <n v="1540"/>
    <n v="1540"/>
  </r>
  <r>
    <x v="10"/>
    <s v="GROUPE DEBAYLE"/>
    <s v="DEBAYLE PARIS"/>
    <s v="57 RUE RODIER"/>
    <n v="2014"/>
    <s v="DDE"/>
    <n v="1"/>
    <n v="0"/>
    <n v="205"/>
    <n v="205"/>
  </r>
  <r>
    <x v="10"/>
    <s v="GROUPE DEBAYLE"/>
    <s v="DEBAYLE PARIS"/>
    <s v="57 RUE RODIER"/>
    <n v="2014"/>
    <s v="DDE"/>
    <n v="1"/>
    <n v="0"/>
    <n v="1261"/>
    <n v="1261"/>
  </r>
  <r>
    <x v="11"/>
    <s v="GROUPE DEBAYLE"/>
    <s v="DEBAYLE PARIS"/>
    <s v="134/136 RUE CARDINET"/>
    <n v="2016"/>
    <s v="DDE"/>
    <n v="1"/>
    <n v="0"/>
    <n v="0"/>
    <n v="0"/>
  </r>
  <r>
    <x v="12"/>
    <s v="GROUPE DEBAYLE"/>
    <s v="DEBAYLE PARIS"/>
    <s v="20 RUE PAUL BERT"/>
    <n v="2015"/>
    <s v="VAND"/>
    <n v="1"/>
    <m/>
    <n v="2276"/>
    <n v="2276"/>
  </r>
  <r>
    <x v="13"/>
    <s v="GROUPE DEBAYLE"/>
    <s v="DEBAYLE PARIS"/>
    <s v="48 RUE RICHER "/>
    <n v="2014"/>
    <s v="DDE"/>
    <n v="1"/>
    <m/>
    <n v="880"/>
    <n v="880"/>
  </r>
  <r>
    <x v="13"/>
    <s v="GROUPE DEBAYLE"/>
    <s v="DEBAYLE PARIS"/>
    <s v="48 RUE RICHER "/>
    <n v="2013"/>
    <s v="INC"/>
    <n v="1"/>
    <m/>
    <n v="228"/>
    <n v="228"/>
  </r>
  <r>
    <x v="13"/>
    <s v="GROUPE DEBAYLE"/>
    <s v="DEBAYLE PARIS"/>
    <s v="48 RUE RICHER "/>
    <n v="2013"/>
    <s v="DDE"/>
    <n v="1"/>
    <m/>
    <n v="1634"/>
    <n v="1634"/>
  </r>
  <r>
    <x v="13"/>
    <s v="GROUPE DEBAYLE"/>
    <s v="DEBAYLE PARIS"/>
    <s v="48 RUE RICHER "/>
    <n v="2013"/>
    <s v="DDE"/>
    <n v="1"/>
    <m/>
    <n v="264"/>
    <n v="264"/>
  </r>
  <r>
    <x v="13"/>
    <s v="GROUPE DEBAYLE"/>
    <s v="DEBAYLE PARIS"/>
    <s v="48 RUE RICHER "/>
    <n v="2013"/>
    <s v="DDE"/>
    <n v="1"/>
    <m/>
    <n v="180"/>
    <n v="180"/>
  </r>
  <r>
    <x v="14"/>
    <s v=""/>
    <s v=""/>
    <s v=""/>
    <m/>
    <m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s v=""/>
    <s v=""/>
    <s v=""/>
    <m/>
    <s v=""/>
    <s v=""/>
    <m/>
    <m/>
    <s v=""/>
  </r>
  <r>
    <x v="14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4" minRefreshableVersion="3" rowGrandTotals="0" colGrandTotals="0" itemPrintTitles="1" createdVersion="4" indent="0" outline="1" outlineData="1" multipleFieldFilters="0">
  <location ref="A1:C16" firstHeaderRow="0" firstDataRow="1" firstDataCol="1"/>
  <pivotFields count="10">
    <pivotField axis="axisRow" showAll="0" defaultSubtotal="0">
      <items count="109">
        <item x="14"/>
        <item m="1" x="36"/>
        <item x="13"/>
        <item x="10"/>
        <item m="1" x="72"/>
        <item x="9"/>
        <item m="1" x="108"/>
        <item x="8"/>
        <item m="1" x="23"/>
        <item m="1" x="63"/>
        <item x="2"/>
        <item x="7"/>
        <item m="1" x="22"/>
        <item m="1" x="38"/>
        <item m="1" x="27"/>
        <item m="1" x="106"/>
        <item m="1" x="79"/>
        <item m="1" x="49"/>
        <item m="1" x="20"/>
        <item m="1" x="95"/>
        <item m="1" x="88"/>
        <item m="1" x="53"/>
        <item m="1" x="30"/>
        <item m="1" x="68"/>
        <item m="1" x="100"/>
        <item m="1" x="86"/>
        <item m="1" x="59"/>
        <item m="1" x="87"/>
        <item m="1" x="66"/>
        <item x="11"/>
        <item m="1" x="18"/>
        <item m="1" x="98"/>
        <item m="1" x="28"/>
        <item m="1" x="107"/>
        <item m="1" x="80"/>
        <item m="1" x="50"/>
        <item m="1" x="76"/>
        <item m="1" x="62"/>
        <item m="1" x="56"/>
        <item m="1" x="74"/>
        <item m="1" x="15"/>
        <item m="1" x="90"/>
        <item x="0"/>
        <item m="1" x="96"/>
        <item m="1" x="105"/>
        <item x="6"/>
        <item x="12"/>
        <item x="4"/>
        <item m="1" x="33"/>
        <item m="1" x="89"/>
        <item m="1" x="70"/>
        <item m="1" x="57"/>
        <item m="1" x="47"/>
        <item m="1" x="31"/>
        <item m="1" x="37"/>
        <item m="1" x="29"/>
        <item m="1" x="82"/>
        <item m="1" x="40"/>
        <item m="1" x="24"/>
        <item m="1" x="104"/>
        <item m="1" x="91"/>
        <item m="1" x="83"/>
        <item m="1" x="35"/>
        <item m="1" x="19"/>
        <item m="1" x="65"/>
        <item m="1" x="44"/>
        <item m="1" x="101"/>
        <item m="1" x="81"/>
        <item m="1" x="52"/>
        <item m="1" x="45"/>
        <item m="1" x="25"/>
        <item m="1" x="34"/>
        <item m="1" x="54"/>
        <item m="1" x="99"/>
        <item m="1" x="84"/>
        <item m="1" x="77"/>
        <item m="1" x="48"/>
        <item m="1" x="41"/>
        <item x="3"/>
        <item m="1" x="85"/>
        <item m="1" x="102"/>
        <item m="1" x="32"/>
        <item m="1" x="93"/>
        <item m="1" x="42"/>
        <item m="1" x="17"/>
        <item m="1" x="67"/>
        <item m="1" x="61"/>
        <item m="1" x="46"/>
        <item m="1" x="55"/>
        <item m="1" x="26"/>
        <item m="1" x="16"/>
        <item m="1" x="94"/>
        <item m="1" x="60"/>
        <item m="1" x="51"/>
        <item m="1" x="43"/>
        <item m="1" x="103"/>
        <item m="1" x="97"/>
        <item m="1" x="64"/>
        <item m="1" x="39"/>
        <item m="1" x="75"/>
        <item m="1" x="71"/>
        <item m="1" x="21"/>
        <item m="1" x="69"/>
        <item m="1" x="92"/>
        <item m="1" x="78"/>
        <item m="1" x="73"/>
        <item m="1" x="58"/>
        <item x="1"/>
        <item x="5"/>
      </items>
    </pivotField>
    <pivotField showAll="0"/>
    <pivotField showAll="0" defaultSubtotal="0"/>
    <pivotField showAll="0" defaultSubtotal="0"/>
    <pivotField showAll="0" defaultSubtotal="0"/>
    <pivotField showAll="0"/>
    <pivotField dataField="1" showAll="0" defaultSubtotal="0"/>
    <pivotField showAll="0" defaultSubtotal="0"/>
    <pivotField showAll="0" defaultSubtotal="0"/>
    <pivotField dataField="1" showAll="0" defaultSubtotal="0"/>
  </pivotFields>
  <rowFields count="1">
    <field x="0"/>
  </rowFields>
  <rowItems count="15">
    <i>
      <x/>
    </i>
    <i>
      <x v="2"/>
    </i>
    <i>
      <x v="3"/>
    </i>
    <i>
      <x v="5"/>
    </i>
    <i>
      <x v="7"/>
    </i>
    <i>
      <x v="10"/>
    </i>
    <i>
      <x v="11"/>
    </i>
    <i>
      <x v="29"/>
    </i>
    <i>
      <x v="42"/>
    </i>
    <i>
      <x v="45"/>
    </i>
    <i>
      <x v="46"/>
    </i>
    <i>
      <x v="47"/>
    </i>
    <i>
      <x v="78"/>
    </i>
    <i>
      <x v="107"/>
    </i>
    <i>
      <x v="108"/>
    </i>
  </rowItems>
  <colFields count="1">
    <field x="-2"/>
  </colFields>
  <colItems count="2">
    <i>
      <x/>
    </i>
    <i i="1">
      <x v="1"/>
    </i>
  </colItems>
  <dataFields count="2">
    <dataField name="Somme de NOMBRE_DE_SINISTRES" fld="6" baseField="0" baseItem="0"/>
    <dataField name="Somme de CHARGE_SINISTRES_TOTALE" fld="9" baseField="0" baseItem="0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3" tint="-0.499984740745262"/>
  </sheetPr>
  <dimension ref="A2:AM41"/>
  <sheetViews>
    <sheetView showGridLines="0" zoomScale="80" zoomScaleNormal="80" workbookViewId="0">
      <selection activeCell="A4" sqref="A4"/>
    </sheetView>
  </sheetViews>
  <sheetFormatPr baseColWidth="10" defaultRowHeight="15" x14ac:dyDescent="0.25"/>
  <cols>
    <col min="1" max="1" width="17.85546875" style="144" customWidth="1"/>
    <col min="2" max="2" width="2" style="2" customWidth="1"/>
    <col min="3" max="3" width="16.5703125" style="2" customWidth="1"/>
    <col min="4" max="4" width="1.5703125" style="5" customWidth="1"/>
    <col min="5" max="5" width="15.85546875" style="2" customWidth="1"/>
    <col min="6" max="6" width="1.5703125" style="16" customWidth="1"/>
    <col min="7" max="7" width="15.140625" style="2" customWidth="1"/>
    <col min="8" max="8" width="1.5703125" customWidth="1"/>
    <col min="9" max="9" width="20.7109375" style="2" customWidth="1"/>
    <col min="10" max="10" width="1.5703125" style="2" customWidth="1"/>
    <col min="11" max="11" width="26" style="2" customWidth="1"/>
    <col min="12" max="12" width="1.5703125" style="2" customWidth="1"/>
    <col min="13" max="13" width="25.7109375" style="2" customWidth="1"/>
    <col min="14" max="14" width="1.5703125" style="2" customWidth="1"/>
    <col min="15" max="15" width="11.42578125" style="2"/>
    <col min="16" max="16" width="1.5703125" style="2" customWidth="1"/>
    <col min="17" max="17" width="11.42578125" style="2"/>
    <col min="18" max="18" width="1.5703125" style="2" customWidth="1"/>
    <col min="19" max="19" width="11.42578125" style="2"/>
    <col min="20" max="20" width="1.5703125" style="16" customWidth="1"/>
    <col min="21" max="21" width="11.5703125" style="16" customWidth="1"/>
    <col min="22" max="22" width="1.5703125" style="16" customWidth="1"/>
    <col min="23" max="23" width="16.140625" style="2" customWidth="1"/>
    <col min="24" max="24" width="1.5703125" style="16" customWidth="1"/>
    <col min="25" max="25" width="10.28515625" style="2" customWidth="1"/>
    <col min="26" max="26" width="1.5703125" style="16" customWidth="1"/>
    <col min="27" max="27" width="11.42578125" style="2"/>
    <col min="28" max="28" width="1.5703125" style="16" customWidth="1"/>
    <col min="29" max="29" width="18.7109375" style="2" customWidth="1"/>
    <col min="30" max="30" width="1.5703125" style="2" customWidth="1"/>
    <col min="31" max="31" width="24.140625" style="2" customWidth="1"/>
    <col min="32" max="32" width="1.5703125" style="2" customWidth="1"/>
    <col min="33" max="33" width="19.5703125" style="2" customWidth="1"/>
    <col min="34" max="34" width="1.5703125" style="2" customWidth="1"/>
    <col min="35" max="35" width="11.42578125" style="2"/>
    <col min="36" max="36" width="3.7109375" style="2" customWidth="1"/>
    <col min="37" max="37" width="11.42578125" style="2"/>
    <col min="38" max="38" width="43.7109375" style="2" customWidth="1"/>
    <col min="39" max="39" width="29.85546875" style="2" bestFit="1" customWidth="1"/>
    <col min="40" max="16384" width="11.42578125" style="2"/>
  </cols>
  <sheetData>
    <row r="2" spans="1:39" ht="45" customHeight="1" x14ac:dyDescent="0.25">
      <c r="A2" s="143" t="s">
        <v>221</v>
      </c>
      <c r="C2" s="17" t="s">
        <v>162</v>
      </c>
      <c r="D2" s="4"/>
      <c r="E2" s="17" t="s">
        <v>222</v>
      </c>
      <c r="F2" s="15"/>
      <c r="G2" s="17" t="s">
        <v>223</v>
      </c>
      <c r="I2" s="17" t="s">
        <v>219</v>
      </c>
      <c r="K2" s="17" t="s">
        <v>220</v>
      </c>
      <c r="M2" s="17" t="s">
        <v>188</v>
      </c>
      <c r="O2" s="17" t="s">
        <v>179</v>
      </c>
      <c r="Q2" s="17" t="s">
        <v>51</v>
      </c>
      <c r="S2" s="17" t="s">
        <v>142</v>
      </c>
      <c r="T2" s="15"/>
      <c r="U2" s="17" t="s">
        <v>224</v>
      </c>
      <c r="V2" s="15"/>
      <c r="W2" s="17" t="s">
        <v>196</v>
      </c>
      <c r="X2" s="15"/>
      <c r="Y2" s="17" t="s">
        <v>197</v>
      </c>
      <c r="Z2" s="15"/>
      <c r="AA2" s="17" t="s">
        <v>198</v>
      </c>
      <c r="AB2" s="15"/>
      <c r="AC2" s="17" t="s">
        <v>199</v>
      </c>
      <c r="AE2" s="17" t="s">
        <v>200</v>
      </c>
      <c r="AG2" s="17" t="s">
        <v>201</v>
      </c>
      <c r="AI2" s="17" t="s">
        <v>154</v>
      </c>
      <c r="AK2" s="17" t="s">
        <v>83</v>
      </c>
      <c r="AL2" s="17" t="s">
        <v>217</v>
      </c>
      <c r="AM2" s="17" t="s">
        <v>218</v>
      </c>
    </row>
    <row r="3" spans="1:39" ht="15" customHeight="1" x14ac:dyDescent="0.2">
      <c r="A3" s="146" t="s">
        <v>335</v>
      </c>
      <c r="C3" s="25" t="s">
        <v>11</v>
      </c>
      <c r="E3" s="25" t="s">
        <v>11</v>
      </c>
      <c r="F3" s="5"/>
      <c r="G3" s="25">
        <v>0</v>
      </c>
      <c r="H3" s="16"/>
      <c r="I3" s="25" t="s">
        <v>59</v>
      </c>
      <c r="J3" s="16"/>
      <c r="K3" s="25" t="s">
        <v>255</v>
      </c>
      <c r="L3" s="16"/>
      <c r="M3" s="25" t="s">
        <v>262</v>
      </c>
      <c r="N3" s="16"/>
      <c r="O3" s="25" t="s">
        <v>49</v>
      </c>
      <c r="P3" s="16"/>
      <c r="Q3" s="25" t="s">
        <v>55</v>
      </c>
      <c r="R3" s="16"/>
      <c r="S3" s="25" t="s">
        <v>31</v>
      </c>
      <c r="T3" s="5"/>
      <c r="U3" s="25">
        <v>1</v>
      </c>
      <c r="V3" s="5"/>
      <c r="W3" s="25" t="s">
        <v>60</v>
      </c>
      <c r="X3" s="5"/>
      <c r="Y3" s="26">
        <v>1</v>
      </c>
      <c r="Z3" s="5"/>
      <c r="AA3" s="83" t="s">
        <v>243</v>
      </c>
      <c r="AB3" s="5"/>
      <c r="AC3" s="25" t="s">
        <v>50</v>
      </c>
      <c r="AD3" s="16"/>
      <c r="AE3" s="25" t="s">
        <v>49</v>
      </c>
      <c r="AF3" s="16"/>
      <c r="AG3" s="25" t="s">
        <v>49</v>
      </c>
      <c r="AH3" s="16"/>
      <c r="AI3" s="25">
        <v>2016</v>
      </c>
      <c r="AJ3" s="16"/>
      <c r="AK3" s="25" t="s">
        <v>10</v>
      </c>
      <c r="AL3" s="25" t="s">
        <v>10</v>
      </c>
      <c r="AM3" s="25" t="s">
        <v>130</v>
      </c>
    </row>
    <row r="4" spans="1:39" ht="15" customHeight="1" x14ac:dyDescent="0.2">
      <c r="C4" s="25" t="s">
        <v>10</v>
      </c>
      <c r="E4" s="25" t="s">
        <v>10</v>
      </c>
      <c r="F4" s="5"/>
      <c r="G4" s="25">
        <v>0.24</v>
      </c>
      <c r="H4" s="16"/>
      <c r="I4" s="25" t="s">
        <v>70</v>
      </c>
      <c r="J4" s="16"/>
      <c r="K4" s="25" t="s">
        <v>62</v>
      </c>
      <c r="L4" s="16"/>
      <c r="M4" s="25" t="s">
        <v>264</v>
      </c>
      <c r="N4" s="16"/>
      <c r="O4" s="25" t="s">
        <v>50</v>
      </c>
      <c r="P4" s="16"/>
      <c r="Q4" s="25" t="s">
        <v>114</v>
      </c>
      <c r="R4" s="16"/>
      <c r="S4" s="25" t="s">
        <v>29</v>
      </c>
      <c r="T4" s="5"/>
      <c r="U4" s="25">
        <v>0</v>
      </c>
      <c r="V4" s="5"/>
      <c r="W4" s="25" t="s">
        <v>58</v>
      </c>
      <c r="X4" s="5"/>
      <c r="Y4" s="26">
        <v>2</v>
      </c>
      <c r="Z4" s="5"/>
      <c r="AA4" s="83" t="s">
        <v>244</v>
      </c>
      <c r="AB4" s="5"/>
      <c r="AC4" s="25" t="s">
        <v>236</v>
      </c>
      <c r="AD4" s="16"/>
      <c r="AE4" s="25" t="s">
        <v>50</v>
      </c>
      <c r="AF4" s="16"/>
      <c r="AG4" s="25" t="s">
        <v>50</v>
      </c>
      <c r="AH4" s="16"/>
      <c r="AI4" s="25">
        <v>2015</v>
      </c>
      <c r="AJ4" s="16"/>
      <c r="AK4" s="25" t="s">
        <v>36</v>
      </c>
      <c r="AL4" s="25" t="s">
        <v>126</v>
      </c>
      <c r="AM4" s="25" t="s">
        <v>131</v>
      </c>
    </row>
    <row r="5" spans="1:39" ht="15" customHeight="1" x14ac:dyDescent="0.2">
      <c r="A5" s="143" t="s">
        <v>143</v>
      </c>
      <c r="C5" s="25" t="s">
        <v>52</v>
      </c>
      <c r="E5" s="25" t="s">
        <v>36</v>
      </c>
      <c r="F5" s="5"/>
      <c r="G5" s="25">
        <v>0.49</v>
      </c>
      <c r="H5" s="16"/>
      <c r="I5" s="25" t="s">
        <v>68</v>
      </c>
      <c r="J5" s="16"/>
      <c r="K5" s="25" t="s">
        <v>256</v>
      </c>
      <c r="L5" s="16"/>
      <c r="M5" s="25" t="s">
        <v>285</v>
      </c>
      <c r="N5" s="16"/>
      <c r="O5" s="16"/>
      <c r="P5" s="16"/>
      <c r="Q5" s="16"/>
      <c r="R5" s="16"/>
      <c r="S5" s="25" t="s">
        <v>30</v>
      </c>
      <c r="T5" s="5"/>
      <c r="U5" s="5"/>
      <c r="V5" s="5"/>
      <c r="W5" s="25" t="s">
        <v>141</v>
      </c>
      <c r="X5" s="5"/>
      <c r="Y5" s="26">
        <v>3</v>
      </c>
      <c r="Z5" s="5"/>
      <c r="AA5" s="83" t="s">
        <v>245</v>
      </c>
      <c r="AB5" s="5"/>
      <c r="AC5" s="25" t="s">
        <v>118</v>
      </c>
      <c r="AD5" s="16"/>
      <c r="AE5" s="25" t="s">
        <v>118</v>
      </c>
      <c r="AF5" s="16"/>
      <c r="AG5" s="25" t="s">
        <v>118</v>
      </c>
      <c r="AH5" s="16"/>
      <c r="AI5" s="25">
        <v>2014</v>
      </c>
      <c r="AJ5" s="16"/>
      <c r="AK5" s="25" t="s">
        <v>37</v>
      </c>
      <c r="AL5" s="25" t="s">
        <v>137</v>
      </c>
      <c r="AM5" s="25" t="s">
        <v>132</v>
      </c>
    </row>
    <row r="6" spans="1:39" ht="15" customHeight="1" x14ac:dyDescent="0.2">
      <c r="A6" s="145">
        <v>42562</v>
      </c>
      <c r="C6" s="25"/>
      <c r="E6" s="25" t="s">
        <v>37</v>
      </c>
      <c r="F6" s="5"/>
      <c r="G6" s="25">
        <v>0.75</v>
      </c>
      <c r="H6" s="16"/>
      <c r="I6" s="25" t="s">
        <v>56</v>
      </c>
      <c r="J6" s="16"/>
      <c r="K6" s="25" t="s">
        <v>64</v>
      </c>
      <c r="L6" s="16"/>
      <c r="M6" s="25" t="s">
        <v>286</v>
      </c>
      <c r="N6" s="16"/>
      <c r="O6" s="16"/>
      <c r="P6" s="16"/>
      <c r="Q6" s="16"/>
      <c r="R6" s="16"/>
      <c r="S6" s="25" t="s">
        <v>32</v>
      </c>
      <c r="T6" s="5"/>
      <c r="U6" s="5"/>
      <c r="V6" s="5"/>
      <c r="W6" s="25" t="s">
        <v>140</v>
      </c>
      <c r="X6" s="5"/>
      <c r="Y6" s="26">
        <v>4</v>
      </c>
      <c r="Z6" s="5"/>
      <c r="AA6" s="83" t="s">
        <v>246</v>
      </c>
      <c r="AB6" s="5"/>
      <c r="AC6" s="16"/>
      <c r="AD6" s="16"/>
      <c r="AE6" s="16"/>
      <c r="AF6" s="16"/>
      <c r="AG6" s="16"/>
      <c r="AH6" s="16"/>
      <c r="AI6" s="25">
        <v>2013</v>
      </c>
      <c r="AJ6" s="16"/>
      <c r="AK6" s="25" t="s">
        <v>38</v>
      </c>
      <c r="AL6" s="25" t="s">
        <v>135</v>
      </c>
      <c r="AM6" s="25" t="s">
        <v>151</v>
      </c>
    </row>
    <row r="7" spans="1:39" ht="15" customHeight="1" x14ac:dyDescent="0.2">
      <c r="C7" s="25"/>
      <c r="E7" s="25" t="s">
        <v>38</v>
      </c>
      <c r="F7" s="5"/>
      <c r="G7" s="25">
        <v>1</v>
      </c>
      <c r="H7" s="16"/>
      <c r="I7" s="25" t="s">
        <v>69</v>
      </c>
      <c r="J7" s="16"/>
      <c r="K7" s="25" t="s">
        <v>257</v>
      </c>
      <c r="L7" s="16"/>
      <c r="M7" s="25" t="s">
        <v>287</v>
      </c>
      <c r="N7" s="16"/>
      <c r="O7" s="16"/>
      <c r="P7" s="16"/>
      <c r="Q7" s="16"/>
      <c r="R7" s="16"/>
      <c r="S7" s="25"/>
      <c r="W7" s="25"/>
      <c r="Y7" s="26">
        <v>5</v>
      </c>
      <c r="AA7" s="83" t="s">
        <v>247</v>
      </c>
      <c r="AC7" s="16"/>
      <c r="AD7" s="16"/>
      <c r="AE7" s="16"/>
      <c r="AF7" s="16"/>
      <c r="AG7" s="16"/>
      <c r="AH7" s="16"/>
      <c r="AJ7" s="16"/>
      <c r="AK7" s="25" t="s">
        <v>39</v>
      </c>
      <c r="AL7" s="25" t="s">
        <v>136</v>
      </c>
      <c r="AM7" s="25" t="s">
        <v>152</v>
      </c>
    </row>
    <row r="8" spans="1:39" ht="15" customHeight="1" x14ac:dyDescent="0.2">
      <c r="C8" s="25"/>
      <c r="E8" s="25" t="s">
        <v>39</v>
      </c>
      <c r="F8" s="5"/>
      <c r="G8" s="25"/>
      <c r="H8" s="16"/>
      <c r="I8" s="25" t="s">
        <v>63</v>
      </c>
      <c r="J8" s="16"/>
      <c r="K8" s="25" t="s">
        <v>258</v>
      </c>
      <c r="L8" s="16"/>
      <c r="M8" s="25"/>
      <c r="N8" s="16"/>
      <c r="O8" s="16"/>
      <c r="P8" s="16"/>
      <c r="Q8" s="16"/>
      <c r="R8" s="16"/>
      <c r="S8" s="25"/>
      <c r="W8" s="25"/>
      <c r="Y8" s="26">
        <v>6</v>
      </c>
      <c r="AA8" s="83" t="s">
        <v>248</v>
      </c>
      <c r="AC8" s="16"/>
      <c r="AD8" s="16"/>
      <c r="AE8" s="16"/>
      <c r="AF8" s="16"/>
      <c r="AG8" s="16"/>
      <c r="AH8" s="16"/>
      <c r="AI8" s="16"/>
      <c r="AJ8" s="16"/>
      <c r="AK8" s="25" t="s">
        <v>235</v>
      </c>
      <c r="AL8" s="25" t="s">
        <v>127</v>
      </c>
      <c r="AM8" s="25" t="s">
        <v>130</v>
      </c>
    </row>
    <row r="9" spans="1:39" ht="15" customHeight="1" x14ac:dyDescent="0.2">
      <c r="A9" s="143" t="s">
        <v>153</v>
      </c>
      <c r="C9" s="25"/>
      <c r="E9" s="25" t="s">
        <v>235</v>
      </c>
      <c r="F9" s="5"/>
      <c r="G9" s="25"/>
      <c r="H9" s="16"/>
      <c r="I9" s="25" t="s">
        <v>72</v>
      </c>
      <c r="J9" s="16"/>
      <c r="K9" s="25" t="s">
        <v>259</v>
      </c>
      <c r="L9" s="16"/>
      <c r="M9" s="25"/>
      <c r="N9" s="16"/>
      <c r="O9" s="16"/>
      <c r="P9" s="16"/>
      <c r="Q9" s="16"/>
      <c r="R9" s="16"/>
      <c r="S9" s="25"/>
      <c r="W9" s="25"/>
      <c r="Y9" s="26">
        <v>7</v>
      </c>
      <c r="AA9" s="83" t="s">
        <v>249</v>
      </c>
      <c r="AC9" s="16"/>
      <c r="AD9" s="16"/>
      <c r="AE9" s="16"/>
      <c r="AF9" s="16"/>
      <c r="AG9" s="16"/>
      <c r="AH9" s="16"/>
      <c r="AI9" s="16"/>
      <c r="AJ9" s="16"/>
      <c r="AK9" s="25" t="s">
        <v>27</v>
      </c>
      <c r="AL9" s="25" t="s">
        <v>138</v>
      </c>
      <c r="AM9" s="25" t="s">
        <v>133</v>
      </c>
    </row>
    <row r="10" spans="1:39" ht="15" customHeight="1" x14ac:dyDescent="0.2">
      <c r="A10" s="146" t="s">
        <v>334</v>
      </c>
      <c r="C10" s="25"/>
      <c r="E10" s="25" t="s">
        <v>27</v>
      </c>
      <c r="F10" s="5"/>
      <c r="G10" s="25"/>
      <c r="H10" s="16"/>
      <c r="I10" s="25" t="s">
        <v>58</v>
      </c>
      <c r="J10" s="16"/>
      <c r="K10" s="25" t="s">
        <v>260</v>
      </c>
      <c r="L10" s="16"/>
      <c r="M10" s="25"/>
      <c r="N10" s="16"/>
      <c r="O10" s="16"/>
      <c r="P10" s="16"/>
      <c r="Q10" s="16"/>
      <c r="R10" s="16"/>
      <c r="S10" s="25"/>
      <c r="W10" s="25"/>
      <c r="Y10" s="26">
        <v>8</v>
      </c>
      <c r="AA10" s="83" t="s">
        <v>250</v>
      </c>
      <c r="AC10" s="16"/>
      <c r="AD10" s="16"/>
      <c r="AE10" s="16"/>
      <c r="AF10" s="16"/>
      <c r="AG10" s="16"/>
      <c r="AH10" s="16"/>
      <c r="AJ10" s="16"/>
      <c r="AK10" s="25" t="s">
        <v>28</v>
      </c>
      <c r="AL10" s="25" t="s">
        <v>139</v>
      </c>
      <c r="AM10" s="25" t="s">
        <v>134</v>
      </c>
    </row>
    <row r="11" spans="1:39" ht="15" customHeight="1" x14ac:dyDescent="0.2">
      <c r="A11" s="146"/>
      <c r="C11" s="25"/>
      <c r="E11" s="25" t="s">
        <v>28</v>
      </c>
      <c r="F11" s="5"/>
      <c r="G11" s="25"/>
      <c r="H11" s="16"/>
      <c r="I11" s="25" t="s">
        <v>71</v>
      </c>
      <c r="J11" s="16"/>
      <c r="K11" s="25" t="s">
        <v>261</v>
      </c>
      <c r="L11" s="16"/>
      <c r="M11" s="25"/>
      <c r="N11" s="16"/>
      <c r="O11" s="16"/>
      <c r="P11" s="16"/>
      <c r="Q11" s="16"/>
      <c r="R11" s="16"/>
      <c r="S11" s="25"/>
      <c r="W11" s="25"/>
      <c r="Y11" s="26">
        <v>9</v>
      </c>
      <c r="AA11" s="83" t="s">
        <v>251</v>
      </c>
      <c r="AC11" s="16"/>
      <c r="AD11" s="16"/>
      <c r="AE11" s="16"/>
      <c r="AF11" s="16"/>
      <c r="AG11" s="16"/>
      <c r="AH11" s="16"/>
      <c r="AJ11" s="16"/>
      <c r="AK11" s="16"/>
    </row>
    <row r="12" spans="1:39" ht="15" customHeight="1" x14ac:dyDescent="0.25">
      <c r="A12" s="146"/>
      <c r="C12" s="25"/>
      <c r="E12" s="25"/>
      <c r="F12" s="5"/>
      <c r="G12" s="25"/>
      <c r="H12" s="27"/>
      <c r="I12" s="25" t="s">
        <v>67</v>
      </c>
      <c r="J12" s="16"/>
      <c r="K12" s="25" t="s">
        <v>262</v>
      </c>
      <c r="L12" s="16"/>
      <c r="M12" s="16"/>
      <c r="N12" s="16"/>
      <c r="O12" s="16"/>
      <c r="P12" s="16"/>
      <c r="Q12" s="16"/>
      <c r="R12" s="16"/>
      <c r="S12" s="25"/>
      <c r="W12" s="25"/>
      <c r="Y12" s="26">
        <v>10</v>
      </c>
      <c r="AA12" s="83" t="s">
        <v>252</v>
      </c>
      <c r="AC12" s="16"/>
      <c r="AD12" s="16"/>
      <c r="AE12" s="16"/>
      <c r="AF12" s="16"/>
      <c r="AG12" s="16"/>
      <c r="AH12" s="16"/>
      <c r="AJ12" s="16"/>
      <c r="AK12" s="16"/>
    </row>
    <row r="13" spans="1:39" ht="15" customHeight="1" x14ac:dyDescent="0.25">
      <c r="A13" s="146"/>
      <c r="C13" s="25"/>
      <c r="E13" s="25"/>
      <c r="F13" s="5"/>
      <c r="G13" s="25"/>
      <c r="H13" s="27"/>
      <c r="I13" s="25" t="s">
        <v>54</v>
      </c>
      <c r="J13" s="16"/>
      <c r="K13" s="25" t="s">
        <v>263</v>
      </c>
      <c r="L13" s="16"/>
      <c r="M13" s="16"/>
      <c r="N13" s="16"/>
      <c r="O13" s="16"/>
      <c r="P13" s="16"/>
      <c r="Q13" s="16"/>
      <c r="R13" s="16"/>
      <c r="S13" s="25"/>
      <c r="W13" s="25"/>
      <c r="Y13" s="26">
        <v>11</v>
      </c>
      <c r="AA13" s="83" t="s">
        <v>253</v>
      </c>
      <c r="AC13" s="16"/>
      <c r="AD13" s="16"/>
      <c r="AE13" s="16"/>
      <c r="AF13" s="16"/>
      <c r="AG13" s="16"/>
      <c r="AH13" s="16"/>
      <c r="AJ13" s="16"/>
      <c r="AK13" s="16"/>
    </row>
    <row r="14" spans="1:39" ht="15" customHeight="1" x14ac:dyDescent="0.25">
      <c r="A14" s="146"/>
      <c r="C14" s="25"/>
      <c r="E14" s="25"/>
      <c r="F14" s="5"/>
      <c r="G14" s="25"/>
      <c r="H14" s="27"/>
      <c r="I14" s="25" t="s">
        <v>57</v>
      </c>
      <c r="J14" s="16"/>
      <c r="K14" s="25" t="s">
        <v>264</v>
      </c>
      <c r="L14" s="16"/>
      <c r="M14" s="16"/>
      <c r="N14" s="16"/>
      <c r="O14" s="16"/>
      <c r="P14" s="16"/>
      <c r="Q14" s="16"/>
      <c r="R14" s="16"/>
      <c r="S14" s="25"/>
      <c r="W14" s="25"/>
      <c r="Y14" s="26">
        <v>12</v>
      </c>
      <c r="AA14" s="83" t="s">
        <v>254</v>
      </c>
      <c r="AC14" s="16"/>
      <c r="AD14" s="16"/>
      <c r="AE14" s="16"/>
      <c r="AF14" s="16"/>
      <c r="AG14" s="16"/>
      <c r="AH14" s="16"/>
      <c r="AJ14" s="16"/>
      <c r="AK14" s="16"/>
    </row>
    <row r="15" spans="1:39" ht="15" customHeight="1" x14ac:dyDescent="0.25">
      <c r="A15" s="146"/>
      <c r="C15" s="25"/>
      <c r="E15" s="25"/>
      <c r="F15" s="5"/>
      <c r="G15" s="25"/>
      <c r="H15" s="27"/>
      <c r="I15" s="25"/>
      <c r="J15" s="16"/>
      <c r="K15" s="25" t="s">
        <v>265</v>
      </c>
      <c r="L15" s="16"/>
      <c r="M15" s="16"/>
      <c r="N15" s="16"/>
      <c r="O15" s="16"/>
      <c r="P15" s="16"/>
      <c r="Q15" s="16"/>
      <c r="R15" s="16"/>
      <c r="S15" s="25"/>
      <c r="W15" s="25"/>
      <c r="Y15" s="26">
        <v>13</v>
      </c>
      <c r="AA15" s="5"/>
      <c r="AC15" s="16"/>
      <c r="AD15" s="16"/>
      <c r="AE15" s="16"/>
      <c r="AF15" s="16"/>
      <c r="AG15" s="16"/>
      <c r="AH15" s="16"/>
      <c r="AJ15" s="16"/>
      <c r="AK15" s="16"/>
    </row>
    <row r="16" spans="1:39" ht="15" customHeight="1" x14ac:dyDescent="0.25">
      <c r="A16" s="146"/>
      <c r="C16" s="25"/>
      <c r="E16" s="25"/>
      <c r="F16" s="5"/>
      <c r="G16" s="25"/>
      <c r="H16" s="27"/>
      <c r="I16" s="25"/>
      <c r="J16" s="16"/>
      <c r="K16" s="25" t="s">
        <v>266</v>
      </c>
      <c r="L16" s="16"/>
      <c r="M16" s="16"/>
      <c r="N16" s="16"/>
      <c r="O16" s="16"/>
      <c r="P16" s="16"/>
      <c r="Q16" s="16"/>
      <c r="R16" s="16"/>
      <c r="S16" s="25"/>
      <c r="W16" s="25"/>
      <c r="Y16" s="26">
        <v>14</v>
      </c>
      <c r="AA16" s="5"/>
      <c r="AC16" s="16"/>
      <c r="AD16" s="16"/>
      <c r="AE16" s="16"/>
      <c r="AF16" s="16"/>
      <c r="AG16" s="16"/>
      <c r="AH16" s="16"/>
      <c r="AJ16" s="16"/>
      <c r="AK16" s="16"/>
    </row>
    <row r="17" spans="1:37" ht="15" customHeight="1" x14ac:dyDescent="0.25">
      <c r="A17" s="146"/>
      <c r="C17" s="25"/>
      <c r="E17" s="25"/>
      <c r="F17" s="5"/>
      <c r="G17" s="25"/>
      <c r="H17" s="27"/>
      <c r="I17" s="25"/>
      <c r="J17" s="16"/>
      <c r="K17" s="25" t="s">
        <v>65</v>
      </c>
      <c r="L17" s="16"/>
      <c r="M17" s="16"/>
      <c r="N17" s="16"/>
      <c r="O17" s="16"/>
      <c r="P17" s="16"/>
      <c r="Q17" s="16"/>
      <c r="R17" s="16"/>
      <c r="S17" s="25"/>
      <c r="W17" s="25"/>
      <c r="Y17" s="26">
        <v>15</v>
      </c>
      <c r="AA17" s="5"/>
      <c r="AC17" s="16"/>
      <c r="AD17" s="16"/>
      <c r="AE17" s="16"/>
      <c r="AF17" s="16"/>
      <c r="AG17" s="16"/>
      <c r="AH17" s="16"/>
      <c r="AJ17" s="16"/>
      <c r="AK17" s="16"/>
    </row>
    <row r="18" spans="1:37" ht="15" customHeight="1" x14ac:dyDescent="0.25">
      <c r="A18" s="146"/>
      <c r="C18" s="25"/>
      <c r="E18" s="25"/>
      <c r="F18" s="5"/>
      <c r="G18" s="25"/>
      <c r="H18" s="27"/>
      <c r="I18" s="25"/>
      <c r="J18" s="16"/>
      <c r="K18" s="25" t="s">
        <v>19</v>
      </c>
      <c r="L18" s="16"/>
      <c r="M18" s="16"/>
      <c r="N18" s="16"/>
      <c r="O18" s="16"/>
      <c r="P18" s="16"/>
      <c r="Q18" s="16"/>
      <c r="R18" s="16"/>
      <c r="S18" s="25"/>
      <c r="W18" s="25"/>
      <c r="Y18" s="26">
        <v>16</v>
      </c>
      <c r="AA18" s="5"/>
      <c r="AC18" s="16"/>
      <c r="AD18" s="16"/>
      <c r="AE18" s="16"/>
      <c r="AF18" s="16"/>
      <c r="AG18" s="16"/>
      <c r="AH18" s="16"/>
      <c r="AJ18" s="16"/>
      <c r="AK18" s="16"/>
    </row>
    <row r="19" spans="1:37" ht="15" customHeight="1" x14ac:dyDescent="0.25">
      <c r="A19" s="146"/>
      <c r="C19" s="25"/>
      <c r="E19" s="25"/>
      <c r="F19" s="5"/>
      <c r="G19" s="25"/>
      <c r="H19" s="27"/>
      <c r="I19" s="25"/>
      <c r="J19" s="16"/>
      <c r="K19" s="25" t="s">
        <v>267</v>
      </c>
      <c r="L19" s="16"/>
      <c r="M19" s="16"/>
      <c r="N19" s="16"/>
      <c r="O19" s="16"/>
      <c r="P19" s="16"/>
      <c r="Q19" s="16"/>
      <c r="R19" s="16"/>
      <c r="S19" s="25"/>
      <c r="W19" s="25"/>
      <c r="Y19" s="26">
        <v>17</v>
      </c>
      <c r="AA19" s="5"/>
      <c r="AC19" s="16"/>
      <c r="AD19" s="16"/>
      <c r="AE19" s="16"/>
      <c r="AF19" s="16"/>
      <c r="AG19" s="16"/>
      <c r="AH19" s="16"/>
      <c r="AJ19" s="16"/>
      <c r="AK19" s="16"/>
    </row>
    <row r="20" spans="1:37" ht="15" customHeight="1" x14ac:dyDescent="0.25">
      <c r="A20" s="146"/>
      <c r="C20" s="25"/>
      <c r="E20" s="25"/>
      <c r="F20" s="5"/>
      <c r="G20" s="25"/>
      <c r="H20" s="27"/>
      <c r="I20" s="25"/>
      <c r="J20" s="16"/>
      <c r="K20" s="25" t="s">
        <v>268</v>
      </c>
      <c r="L20" s="16"/>
      <c r="M20" s="16"/>
      <c r="N20" s="16"/>
      <c r="O20" s="16"/>
      <c r="P20" s="16"/>
      <c r="Q20" s="16"/>
      <c r="R20" s="16"/>
      <c r="S20" s="25"/>
      <c r="W20" s="25"/>
      <c r="Y20" s="26">
        <v>18</v>
      </c>
      <c r="AA20" s="5"/>
      <c r="AC20" s="16"/>
      <c r="AD20" s="16"/>
      <c r="AE20" s="16"/>
      <c r="AF20" s="16"/>
      <c r="AG20" s="16"/>
      <c r="AH20" s="16"/>
      <c r="AJ20" s="16"/>
      <c r="AK20" s="16"/>
    </row>
    <row r="21" spans="1:37" ht="15" customHeight="1" x14ac:dyDescent="0.25">
      <c r="A21" s="146"/>
      <c r="C21" s="25"/>
      <c r="E21" s="25"/>
      <c r="F21" s="5"/>
      <c r="G21" s="25"/>
      <c r="H21" s="27"/>
      <c r="I21" s="25"/>
      <c r="J21" s="16"/>
      <c r="K21" s="25" t="s">
        <v>269</v>
      </c>
      <c r="L21" s="16"/>
      <c r="M21" s="16"/>
      <c r="N21" s="16"/>
      <c r="O21" s="16"/>
      <c r="P21" s="16"/>
      <c r="Q21" s="16"/>
      <c r="R21" s="16"/>
      <c r="S21" s="25"/>
      <c r="W21" s="25"/>
      <c r="Y21" s="26">
        <v>19</v>
      </c>
      <c r="AA21" s="5"/>
      <c r="AC21" s="16"/>
      <c r="AD21" s="16"/>
      <c r="AE21" s="16"/>
      <c r="AF21" s="16"/>
      <c r="AG21" s="16"/>
      <c r="AH21" s="16"/>
      <c r="AJ21" s="16"/>
      <c r="AK21" s="16"/>
    </row>
    <row r="22" spans="1:37" ht="15" customHeight="1" x14ac:dyDescent="0.25">
      <c r="A22" s="146"/>
      <c r="C22" s="25"/>
      <c r="E22" s="25"/>
      <c r="F22" s="5"/>
      <c r="G22" s="25"/>
      <c r="H22" s="27"/>
      <c r="I22" s="25"/>
      <c r="J22" s="16"/>
      <c r="K22" s="25" t="s">
        <v>270</v>
      </c>
      <c r="L22" s="16"/>
      <c r="M22" s="16"/>
      <c r="N22" s="16"/>
      <c r="O22" s="16"/>
      <c r="P22" s="16"/>
      <c r="Q22" s="16"/>
      <c r="R22" s="16"/>
      <c r="S22" s="25"/>
      <c r="W22" s="25"/>
      <c r="Y22" s="26">
        <v>20</v>
      </c>
      <c r="AA22" s="5"/>
      <c r="AC22" s="16"/>
      <c r="AD22" s="16"/>
      <c r="AE22" s="16"/>
      <c r="AF22" s="16"/>
      <c r="AG22" s="16"/>
      <c r="AH22" s="16"/>
      <c r="AJ22" s="16"/>
      <c r="AK22" s="16"/>
    </row>
    <row r="23" spans="1:37" ht="15" customHeight="1" x14ac:dyDescent="0.25">
      <c r="A23" s="146"/>
      <c r="C23" s="25"/>
      <c r="E23" s="25"/>
      <c r="G23" s="25"/>
      <c r="H23" s="27"/>
      <c r="I23" s="25"/>
      <c r="J23" s="16"/>
      <c r="K23" s="25" t="s">
        <v>271</v>
      </c>
      <c r="L23" s="16"/>
      <c r="M23" s="16"/>
      <c r="N23" s="16"/>
      <c r="O23" s="16"/>
      <c r="P23" s="16"/>
      <c r="Q23" s="16"/>
      <c r="R23" s="16"/>
      <c r="S23" s="25"/>
      <c r="W23" s="25"/>
      <c r="Y23" s="26">
        <v>21</v>
      </c>
      <c r="AA23" s="5"/>
      <c r="AC23" s="16"/>
      <c r="AD23" s="16"/>
      <c r="AE23" s="16"/>
      <c r="AF23" s="16"/>
      <c r="AG23" s="16"/>
      <c r="AH23" s="16"/>
      <c r="AJ23" s="16"/>
      <c r="AK23" s="16"/>
    </row>
    <row r="24" spans="1:37" ht="15" customHeight="1" x14ac:dyDescent="0.25">
      <c r="A24" s="146"/>
      <c r="C24" s="25"/>
      <c r="E24" s="25"/>
      <c r="G24" s="25"/>
      <c r="H24" s="27"/>
      <c r="I24" s="25"/>
      <c r="J24" s="16"/>
      <c r="K24" s="25" t="s">
        <v>18</v>
      </c>
      <c r="L24" s="16"/>
      <c r="M24" s="16"/>
      <c r="N24" s="16"/>
      <c r="O24" s="16"/>
      <c r="P24" s="16"/>
      <c r="Q24" s="16"/>
      <c r="R24" s="16"/>
      <c r="S24" s="25"/>
      <c r="W24" s="25"/>
      <c r="Y24" s="26">
        <v>22</v>
      </c>
      <c r="AA24" s="5"/>
      <c r="AC24" s="16"/>
      <c r="AD24" s="16"/>
      <c r="AE24" s="16"/>
      <c r="AF24" s="16"/>
      <c r="AG24" s="16"/>
      <c r="AH24" s="16"/>
      <c r="AJ24" s="16"/>
      <c r="AK24" s="16"/>
    </row>
    <row r="25" spans="1:37" ht="15" customHeight="1" x14ac:dyDescent="0.25">
      <c r="A25" s="146"/>
      <c r="C25" s="25"/>
      <c r="E25" s="25"/>
      <c r="G25" s="25"/>
      <c r="H25" s="27"/>
      <c r="I25" s="25"/>
      <c r="J25" s="16"/>
      <c r="K25" s="25" t="s">
        <v>21</v>
      </c>
      <c r="L25" s="16"/>
      <c r="M25" s="16"/>
      <c r="N25" s="16"/>
      <c r="O25" s="16"/>
      <c r="P25" s="16"/>
      <c r="Q25" s="16"/>
      <c r="R25" s="16"/>
      <c r="S25" s="25"/>
      <c r="W25" s="25"/>
      <c r="Y25" s="26">
        <v>23</v>
      </c>
      <c r="AA25" s="16"/>
      <c r="AC25" s="16"/>
      <c r="AD25" s="16"/>
      <c r="AE25" s="16"/>
      <c r="AF25" s="16"/>
      <c r="AG25" s="16"/>
      <c r="AH25" s="16"/>
      <c r="AJ25" s="16"/>
      <c r="AK25" s="16"/>
    </row>
    <row r="26" spans="1:37" ht="15" customHeight="1" x14ac:dyDescent="0.25">
      <c r="A26" s="146"/>
      <c r="C26" s="25"/>
      <c r="E26" s="25"/>
      <c r="G26" s="25"/>
      <c r="H26" s="27"/>
      <c r="I26" s="25"/>
      <c r="J26" s="16"/>
      <c r="K26" s="25" t="s">
        <v>272</v>
      </c>
      <c r="L26" s="16"/>
      <c r="M26" s="16"/>
      <c r="N26" s="16"/>
      <c r="O26" s="16"/>
      <c r="P26" s="16"/>
      <c r="Q26" s="16"/>
      <c r="R26" s="16"/>
      <c r="S26" s="25"/>
      <c r="W26" s="25"/>
      <c r="Y26" s="26">
        <v>24</v>
      </c>
      <c r="AA26" s="16"/>
      <c r="AC26" s="16"/>
      <c r="AD26" s="16"/>
      <c r="AE26" s="16"/>
      <c r="AF26" s="16"/>
      <c r="AG26" s="16"/>
      <c r="AH26" s="16"/>
      <c r="AJ26" s="16"/>
      <c r="AK26" s="16"/>
    </row>
    <row r="27" spans="1:37" ht="15" customHeight="1" x14ac:dyDescent="0.25">
      <c r="A27" s="146"/>
      <c r="C27" s="25"/>
      <c r="E27" s="25"/>
      <c r="G27" s="25"/>
      <c r="H27" s="27"/>
      <c r="I27" s="25"/>
      <c r="J27" s="16"/>
      <c r="K27" s="25" t="s">
        <v>273</v>
      </c>
      <c r="L27" s="16"/>
      <c r="M27" s="16"/>
      <c r="N27" s="16"/>
      <c r="O27" s="16"/>
      <c r="P27" s="16"/>
      <c r="Q27" s="16"/>
      <c r="R27" s="16"/>
      <c r="S27" s="25"/>
      <c r="W27" s="25"/>
      <c r="Y27" s="26">
        <v>25</v>
      </c>
      <c r="AA27" s="16"/>
      <c r="AC27" s="16"/>
      <c r="AD27" s="16"/>
      <c r="AE27" s="16"/>
      <c r="AF27" s="16"/>
      <c r="AG27" s="16"/>
      <c r="AH27" s="16"/>
      <c r="AJ27" s="16"/>
      <c r="AK27" s="16"/>
    </row>
    <row r="28" spans="1:37" ht="15" customHeight="1" x14ac:dyDescent="0.25">
      <c r="A28" s="146"/>
      <c r="C28" s="25"/>
      <c r="E28" s="25"/>
      <c r="G28" s="25"/>
      <c r="H28" s="27"/>
      <c r="I28" s="25"/>
      <c r="J28" s="16"/>
      <c r="K28" s="25" t="s">
        <v>274</v>
      </c>
      <c r="L28" s="16"/>
      <c r="M28" s="16"/>
      <c r="N28" s="16"/>
      <c r="O28" s="16"/>
      <c r="P28" s="16"/>
      <c r="Q28" s="16"/>
      <c r="R28" s="16"/>
      <c r="S28" s="25"/>
      <c r="W28" s="25"/>
      <c r="Y28" s="26">
        <v>26</v>
      </c>
      <c r="AA28" s="16"/>
      <c r="AC28" s="16"/>
      <c r="AD28" s="16"/>
      <c r="AE28" s="16"/>
      <c r="AF28" s="16"/>
      <c r="AG28" s="16"/>
      <c r="AH28" s="16"/>
      <c r="AJ28" s="16"/>
      <c r="AK28" s="16"/>
    </row>
    <row r="29" spans="1:37" ht="15" customHeight="1" x14ac:dyDescent="0.25">
      <c r="A29" s="146"/>
      <c r="C29" s="25"/>
      <c r="E29" s="25"/>
      <c r="G29" s="25"/>
      <c r="H29" s="27"/>
      <c r="I29" s="25"/>
      <c r="J29" s="16"/>
      <c r="K29" s="25" t="s">
        <v>275</v>
      </c>
      <c r="L29" s="16"/>
      <c r="M29" s="16"/>
      <c r="N29" s="16"/>
      <c r="O29" s="16"/>
      <c r="P29" s="16"/>
      <c r="Q29" s="16"/>
      <c r="R29" s="16"/>
      <c r="S29" s="25"/>
      <c r="W29" s="25"/>
      <c r="Y29" s="26">
        <v>27</v>
      </c>
      <c r="AA29" s="16"/>
      <c r="AC29" s="16"/>
      <c r="AD29" s="16"/>
      <c r="AE29" s="16"/>
      <c r="AF29" s="16"/>
      <c r="AG29" s="16"/>
      <c r="AH29" s="16"/>
      <c r="AJ29" s="16"/>
      <c r="AK29" s="16"/>
    </row>
    <row r="30" spans="1:37" ht="15" customHeight="1" x14ac:dyDescent="0.25">
      <c r="A30" s="146"/>
      <c r="C30" s="25"/>
      <c r="E30" s="25"/>
      <c r="G30" s="25"/>
      <c r="H30" s="27"/>
      <c r="I30" s="25"/>
      <c r="J30" s="16"/>
      <c r="K30" s="25" t="s">
        <v>276</v>
      </c>
      <c r="L30" s="16"/>
      <c r="M30" s="16"/>
      <c r="N30" s="16"/>
      <c r="O30" s="16"/>
      <c r="P30" s="16"/>
      <c r="Q30" s="16"/>
      <c r="R30" s="16"/>
      <c r="S30" s="25"/>
      <c r="W30" s="25"/>
      <c r="Y30" s="26">
        <v>28</v>
      </c>
      <c r="AA30" s="16"/>
      <c r="AC30" s="16"/>
      <c r="AD30" s="16"/>
      <c r="AE30" s="16"/>
      <c r="AF30" s="16"/>
      <c r="AG30" s="16"/>
      <c r="AH30" s="16"/>
      <c r="AJ30" s="16"/>
      <c r="AK30" s="16"/>
    </row>
    <row r="31" spans="1:37" ht="15" customHeight="1" x14ac:dyDescent="0.25">
      <c r="A31" s="146"/>
      <c r="C31" s="25"/>
      <c r="E31" s="25"/>
      <c r="G31" s="25"/>
      <c r="H31" s="27"/>
      <c r="I31" s="25"/>
      <c r="J31" s="16"/>
      <c r="K31" s="25" t="s">
        <v>20</v>
      </c>
      <c r="L31" s="16"/>
      <c r="M31" s="16"/>
      <c r="N31" s="16"/>
      <c r="O31" s="16"/>
      <c r="P31" s="16"/>
      <c r="Q31" s="16"/>
      <c r="R31" s="16"/>
      <c r="S31" s="25"/>
      <c r="W31" s="25"/>
      <c r="Y31" s="26">
        <v>29</v>
      </c>
      <c r="AA31" s="16"/>
      <c r="AC31" s="16"/>
      <c r="AD31" s="16"/>
      <c r="AE31" s="16"/>
      <c r="AF31" s="16"/>
      <c r="AG31" s="16"/>
      <c r="AH31" s="16"/>
      <c r="AJ31" s="16"/>
      <c r="AK31" s="16"/>
    </row>
    <row r="32" spans="1:37" ht="15" customHeight="1" x14ac:dyDescent="0.25">
      <c r="C32" s="16"/>
      <c r="E32" s="16"/>
      <c r="G32" s="16"/>
      <c r="H32" s="27"/>
      <c r="I32" s="16"/>
      <c r="J32" s="16"/>
      <c r="K32" s="25" t="s">
        <v>112</v>
      </c>
      <c r="L32" s="16"/>
      <c r="M32" s="16"/>
      <c r="N32" s="16"/>
      <c r="O32" s="16"/>
      <c r="P32" s="16"/>
      <c r="Q32" s="16"/>
      <c r="R32" s="16"/>
      <c r="S32" s="16"/>
      <c r="W32" s="16"/>
      <c r="Y32" s="26">
        <v>30</v>
      </c>
      <c r="AA32" s="16"/>
      <c r="AC32" s="16"/>
      <c r="AD32" s="16"/>
      <c r="AE32" s="16"/>
      <c r="AF32" s="16"/>
      <c r="AG32" s="16"/>
      <c r="AH32" s="16"/>
      <c r="AJ32" s="16"/>
      <c r="AK32" s="16"/>
    </row>
    <row r="33" spans="1:37" ht="15" customHeight="1" x14ac:dyDescent="0.25">
      <c r="C33" s="16"/>
      <c r="E33" s="16"/>
      <c r="G33" s="16"/>
      <c r="H33" s="27"/>
      <c r="I33" s="16"/>
      <c r="J33" s="16"/>
      <c r="K33" s="25"/>
      <c r="L33" s="16"/>
      <c r="M33" s="16"/>
      <c r="N33" s="16"/>
      <c r="O33" s="16"/>
      <c r="P33" s="16"/>
      <c r="Q33" s="16"/>
      <c r="R33" s="16"/>
      <c r="S33" s="16"/>
      <c r="W33" s="16"/>
      <c r="Y33" s="26">
        <v>31</v>
      </c>
      <c r="AA33" s="16"/>
      <c r="AC33" s="16"/>
      <c r="AD33" s="16"/>
      <c r="AE33" s="16"/>
      <c r="AF33" s="16"/>
      <c r="AG33" s="16"/>
      <c r="AH33" s="16"/>
      <c r="AJ33" s="16"/>
      <c r="AK33" s="16"/>
    </row>
    <row r="34" spans="1:37" x14ac:dyDescent="0.25">
      <c r="C34" s="16"/>
      <c r="E34" s="16"/>
      <c r="G34" s="16"/>
      <c r="H34" s="27"/>
      <c r="I34" s="16"/>
      <c r="J34" s="16"/>
      <c r="K34" s="25"/>
      <c r="L34" s="16"/>
      <c r="M34" s="16"/>
      <c r="N34" s="16"/>
      <c r="O34" s="16"/>
      <c r="P34" s="16"/>
      <c r="Q34" s="16"/>
      <c r="R34" s="16"/>
      <c r="S34" s="16"/>
      <c r="W34" s="16"/>
      <c r="Y34" s="5"/>
      <c r="AA34" s="16"/>
      <c r="AC34" s="16"/>
      <c r="AD34" s="16"/>
      <c r="AE34" s="16"/>
      <c r="AF34" s="16"/>
      <c r="AG34" s="16"/>
      <c r="AH34" s="16"/>
      <c r="AJ34" s="16"/>
      <c r="AK34" s="16"/>
    </row>
    <row r="35" spans="1:37" x14ac:dyDescent="0.25">
      <c r="C35" s="16"/>
      <c r="E35" s="16"/>
      <c r="G35" s="16"/>
      <c r="H35" s="27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W35" s="16"/>
      <c r="Y35" s="5"/>
      <c r="AA35" s="16"/>
      <c r="AC35" s="16"/>
      <c r="AD35" s="16"/>
      <c r="AE35" s="16"/>
      <c r="AF35" s="16"/>
      <c r="AG35" s="16"/>
      <c r="AH35" s="16"/>
      <c r="AJ35" s="16"/>
      <c r="AK35" s="16"/>
    </row>
    <row r="36" spans="1:37" x14ac:dyDescent="0.25">
      <c r="Y36" s="14"/>
    </row>
    <row r="41" spans="1:37" ht="18.75" x14ac:dyDescent="0.3">
      <c r="A41" s="147"/>
    </row>
  </sheetData>
  <sheetProtection password="CDD2" sheet="1" objects="1" scenarios="1" formatColumns="0"/>
  <sortState ref="I6:I17">
    <sortCondition ref="I6:I17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3"/>
  </sheetPr>
  <dimension ref="A1:DP49"/>
  <sheetViews>
    <sheetView showGridLines="0" tabSelected="1" topLeftCell="BY4" zoomScaleNormal="100" workbookViewId="0">
      <selection activeCell="CE21" sqref="CE21"/>
    </sheetView>
  </sheetViews>
  <sheetFormatPr baseColWidth="10" defaultRowHeight="15" x14ac:dyDescent="0.25"/>
  <cols>
    <col min="1" max="1" width="41.7109375" style="22" customWidth="1"/>
    <col min="2" max="2" width="36.5703125" style="21" customWidth="1"/>
    <col min="3" max="3" width="20.5703125" style="21" customWidth="1"/>
    <col min="4" max="4" width="49.7109375" style="124" customWidth="1"/>
    <col min="5" max="5" width="22.140625" style="33" customWidth="1"/>
    <col min="6" max="6" width="13.5703125" style="34" customWidth="1"/>
    <col min="7" max="7" width="21.5703125" style="33" customWidth="1"/>
    <col min="8" max="8" width="24.85546875" style="33" customWidth="1"/>
    <col min="9" max="9" width="26.85546875" style="33" customWidth="1"/>
    <col min="10" max="10" width="62.42578125" style="33" customWidth="1"/>
    <col min="11" max="11" width="15.5703125" style="42" customWidth="1"/>
    <col min="12" max="12" width="9.140625" style="33" customWidth="1"/>
    <col min="13" max="13" width="28.28515625" style="42" customWidth="1"/>
    <col min="14" max="14" width="36" style="42" customWidth="1"/>
    <col min="15" max="15" width="22.28515625" style="33" customWidth="1"/>
    <col min="16" max="16" width="20.42578125" style="33" customWidth="1"/>
    <col min="17" max="17" width="19.85546875" style="42" customWidth="1"/>
    <col min="18" max="18" width="51.5703125" style="129" customWidth="1"/>
    <col min="19" max="19" width="21.85546875" style="172" customWidth="1"/>
    <col min="20" max="20" width="26.140625" style="172" customWidth="1"/>
    <col min="21" max="21" width="20.85546875" style="24" customWidth="1"/>
    <col min="22" max="22" width="32" style="24" customWidth="1"/>
    <col min="23" max="23" width="30.42578125" style="24" customWidth="1"/>
    <col min="24" max="24" width="24.28515625" style="33" customWidth="1"/>
    <col min="25" max="25" width="57" style="42" customWidth="1"/>
    <col min="26" max="26" width="30.85546875" style="42" customWidth="1"/>
    <col min="27" max="27" width="38" style="42" customWidth="1"/>
    <col min="28" max="28" width="91.85546875" style="33" customWidth="1"/>
    <col min="29" max="30" width="31.7109375" style="39" customWidth="1"/>
    <col min="31" max="31" width="25.85546875" style="33" customWidth="1"/>
    <col min="32" max="32" width="18.28515625" style="33" customWidth="1"/>
    <col min="33" max="33" width="31.7109375" style="33" customWidth="1"/>
    <col min="34" max="34" width="7.7109375" style="33" customWidth="1"/>
    <col min="35" max="35" width="9.42578125" style="42" customWidth="1"/>
    <col min="36" max="36" width="16.140625" style="33" customWidth="1"/>
    <col min="37" max="37" width="23" style="33" customWidth="1"/>
    <col min="38" max="38" width="10.85546875" style="33" customWidth="1"/>
    <col min="39" max="39" width="11.140625" style="33" customWidth="1"/>
    <col min="40" max="40" width="15.28515625" style="33" customWidth="1"/>
    <col min="41" max="41" width="48.28515625" style="76" customWidth="1"/>
    <col min="42" max="45" width="31.7109375" style="33" customWidth="1"/>
    <col min="46" max="46" width="31.7109375" style="118" customWidth="1"/>
    <col min="47" max="51" width="31.7109375" style="33" customWidth="1"/>
    <col min="52" max="52" width="30" style="33" customWidth="1"/>
    <col min="53" max="53" width="40.7109375" style="33" customWidth="1"/>
    <col min="54" max="54" width="24.7109375" style="39" customWidth="1"/>
    <col min="55" max="55" width="41.28515625" style="33" customWidth="1"/>
    <col min="56" max="57" width="30.42578125" style="33" customWidth="1"/>
    <col min="58" max="58" width="60.5703125" style="33" customWidth="1"/>
    <col min="59" max="59" width="16.42578125" style="76" customWidth="1"/>
    <col min="60" max="60" width="17.5703125" style="76" customWidth="1"/>
    <col min="61" max="61" width="21.7109375" style="76" customWidth="1"/>
    <col min="62" max="62" width="22.28515625" style="76" customWidth="1"/>
    <col min="63" max="63" width="19.5703125" style="76" customWidth="1"/>
    <col min="64" max="64" width="17.5703125" style="76" customWidth="1"/>
    <col min="65" max="65" width="18.28515625" style="76" customWidth="1"/>
    <col min="66" max="66" width="18.7109375" style="76" customWidth="1"/>
    <col min="67" max="67" width="19.42578125" style="76" customWidth="1"/>
    <col min="68" max="68" width="33.42578125" style="76" customWidth="1"/>
    <col min="69" max="69" width="33.42578125" style="116" customWidth="1"/>
    <col min="70" max="70" width="24.28515625" style="116" customWidth="1"/>
    <col min="71" max="71" width="22" style="139" customWidth="1"/>
    <col min="72" max="72" width="29.28515625" style="196" customWidth="1"/>
    <col min="73" max="73" width="37.42578125" style="196" customWidth="1"/>
    <col min="74" max="74" width="38" style="142" customWidth="1"/>
    <col min="75" max="75" width="28.7109375" style="142" customWidth="1"/>
    <col min="76" max="76" width="37.5703125" style="192" customWidth="1"/>
    <col min="77" max="77" width="31.42578125" style="76" customWidth="1"/>
    <col min="78" max="78" width="30.7109375" style="76" customWidth="1"/>
    <col min="79" max="79" width="25" style="176" customWidth="1"/>
    <col min="80" max="80" width="13.140625" style="33" customWidth="1"/>
    <col min="81" max="81" width="17.85546875" style="33" bestFit="1" customWidth="1"/>
    <col min="82" max="82" width="14.42578125" style="33" customWidth="1"/>
    <col min="83" max="83" width="17.140625" style="33" customWidth="1"/>
    <col min="84" max="120" width="11.42578125" style="33"/>
    <col min="121" max="16384" width="11.42578125" style="21"/>
  </cols>
  <sheetData>
    <row r="1" spans="1:120" x14ac:dyDescent="0.25">
      <c r="D1" s="120"/>
      <c r="E1" s="21"/>
      <c r="F1" s="23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167"/>
      <c r="T1" s="167"/>
      <c r="X1" s="21"/>
      <c r="Y1" s="21"/>
      <c r="Z1" s="21"/>
      <c r="AA1" s="21"/>
      <c r="AB1" s="21"/>
      <c r="AC1" s="24"/>
      <c r="AD1" s="24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4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4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133"/>
      <c r="BT1" s="187"/>
      <c r="BU1" s="187"/>
      <c r="BV1" s="21"/>
      <c r="BW1" s="21"/>
      <c r="BX1" s="187"/>
      <c r="BY1" s="21"/>
      <c r="BZ1" s="21"/>
      <c r="CA1" s="173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</row>
    <row r="2" spans="1:120" s="98" customFormat="1" ht="15.75" x14ac:dyDescent="0.25">
      <c r="A2" s="97" t="s">
        <v>150</v>
      </c>
      <c r="D2" s="121"/>
      <c r="F2" s="99"/>
      <c r="M2" s="97" t="s">
        <v>150</v>
      </c>
      <c r="Q2" s="97" t="s">
        <v>150</v>
      </c>
      <c r="R2" s="97"/>
      <c r="S2" s="168"/>
      <c r="T2" s="168"/>
      <c r="U2" s="100"/>
      <c r="V2" s="100"/>
      <c r="W2" s="100"/>
      <c r="AC2" s="100"/>
      <c r="AD2" s="100"/>
      <c r="AN2" s="97" t="s">
        <v>150</v>
      </c>
      <c r="AO2" s="97" t="s">
        <v>150</v>
      </c>
      <c r="AY2" s="97" t="s">
        <v>150</v>
      </c>
      <c r="BB2" s="100"/>
      <c r="BG2" s="97" t="s">
        <v>150</v>
      </c>
      <c r="BS2" s="134"/>
      <c r="BT2" s="188"/>
      <c r="BU2" s="188"/>
      <c r="BX2" s="188"/>
      <c r="CA2" s="174"/>
    </row>
    <row r="3" spans="1:120" s="96" customFormat="1" ht="28.5" customHeight="1" x14ac:dyDescent="0.25">
      <c r="A3" s="86">
        <f>MAX(A7:A49)</f>
        <v>43</v>
      </c>
      <c r="B3" s="87"/>
      <c r="C3" s="87"/>
      <c r="D3" s="122"/>
      <c r="E3" s="87"/>
      <c r="F3" s="88"/>
      <c r="G3" s="87"/>
      <c r="H3" s="87"/>
      <c r="I3" s="87"/>
      <c r="J3" s="87"/>
      <c r="K3" s="87"/>
      <c r="L3" s="87"/>
      <c r="M3" s="89">
        <f>SUBTOTAL(9,M7:M49)</f>
        <v>0</v>
      </c>
      <c r="N3" s="87"/>
      <c r="O3" s="87"/>
      <c r="P3" s="87"/>
      <c r="Q3" s="89">
        <f>SUBTOTAL(9,Q7:Q49)</f>
        <v>80221</v>
      </c>
      <c r="R3" s="89">
        <f>IF(ISERROR(Q3/M3),0,Q3/M3)</f>
        <v>0</v>
      </c>
      <c r="S3" s="169"/>
      <c r="T3" s="169"/>
      <c r="U3" s="90"/>
      <c r="V3" s="90"/>
      <c r="W3" s="90"/>
      <c r="X3" s="87"/>
      <c r="Y3" s="87"/>
      <c r="Z3" s="87"/>
      <c r="AA3" s="87"/>
      <c r="AB3" s="87"/>
      <c r="AC3" s="90"/>
      <c r="AD3" s="90"/>
      <c r="AE3" s="87"/>
      <c r="AF3" s="87"/>
      <c r="AG3" s="87"/>
      <c r="AH3" s="87"/>
      <c r="AI3" s="87"/>
      <c r="AJ3" s="87"/>
      <c r="AK3" s="87"/>
      <c r="AL3" s="87"/>
      <c r="AM3" s="87"/>
      <c r="AN3" s="91">
        <f>SUBTOTAL(9,AN7:AN49)</f>
        <v>237607.23999999996</v>
      </c>
      <c r="AO3" s="92">
        <f>SUBTOTAL(9,AO7:AO49)</f>
        <v>5</v>
      </c>
      <c r="AP3" s="87"/>
      <c r="AQ3" s="87"/>
      <c r="AR3" s="87"/>
      <c r="AS3" s="87"/>
      <c r="AT3" s="87"/>
      <c r="AU3" s="87"/>
      <c r="AV3" s="87"/>
      <c r="AW3" s="87"/>
      <c r="AX3" s="87"/>
      <c r="AY3" s="91">
        <f>SUBTOTAL(9,AY7:AY49)</f>
        <v>1015.65</v>
      </c>
      <c r="AZ3" s="87"/>
      <c r="BA3" s="87"/>
      <c r="BB3" s="90"/>
      <c r="BC3" s="87"/>
      <c r="BD3" s="87"/>
      <c r="BE3" s="87"/>
      <c r="BF3" s="87"/>
      <c r="BG3" s="86">
        <f>SUBTOTAL(9,BG7:BG49)</f>
        <v>46</v>
      </c>
      <c r="BH3" s="91">
        <f>SUBTOTAL(9,BH7:BH49)</f>
        <v>71355</v>
      </c>
      <c r="BI3" s="91">
        <f>SUBTOTAL(9,BI7:BI49)</f>
        <v>217568.74729999996</v>
      </c>
      <c r="BJ3" s="91">
        <f>IF(Q3=0,0,BI3/Q3)</f>
        <v>2.7121171177123191</v>
      </c>
      <c r="BK3" s="91">
        <f>SUBTOTAL(9,BK7:BK49)</f>
        <v>187109.12267799996</v>
      </c>
      <c r="BL3" s="91">
        <f>SUBTOTAL(9,BL7:BL49)</f>
        <v>177753.66654409995</v>
      </c>
      <c r="BM3" s="91">
        <f>SUBTOTAL(9,BM7:BM49)</f>
        <v>168865.98321689497</v>
      </c>
      <c r="BN3" s="91">
        <f>SUBTOTAL(9,BN7:BN49)</f>
        <v>160422.68405605023</v>
      </c>
      <c r="BO3" s="91">
        <f>SUBTOTAL(9,BO7:BO49)</f>
        <v>694151.45649504522</v>
      </c>
      <c r="BP3" s="93">
        <f>IF(ISERROR(BH3/BO3),0,BH3/BO3)</f>
        <v>0.10279456930089914</v>
      </c>
      <c r="BQ3" s="91">
        <f>SUBTOTAL(9,BQ7:BQ49)</f>
        <v>237712.54999999996</v>
      </c>
      <c r="BR3" s="91"/>
      <c r="BS3" s="135">
        <f>IF(ISERROR(BQ3/Q3),0,BQ3/Q3)</f>
        <v>2.9632209770508964</v>
      </c>
      <c r="BT3" s="193">
        <f t="shared" ref="BT3:BY3" si="0">SUBTOTAL(9,BT7:BT49)</f>
        <v>223184.21730000008</v>
      </c>
      <c r="BU3" s="193">
        <f t="shared" si="0"/>
        <v>5615.4700000000012</v>
      </c>
      <c r="BV3" s="91">
        <f t="shared" si="0"/>
        <v>0</v>
      </c>
      <c r="BW3" s="94">
        <f t="shared" si="0"/>
        <v>0</v>
      </c>
      <c r="BX3" s="189">
        <f t="shared" si="0"/>
        <v>223184.21730000008</v>
      </c>
      <c r="BY3" s="95">
        <f t="shared" si="0"/>
        <v>237712.54999999996</v>
      </c>
      <c r="BZ3" s="95">
        <f>BX3-BY3</f>
        <v>-14528.332699999883</v>
      </c>
      <c r="CA3" s="175"/>
    </row>
    <row r="4" spans="1:120" ht="48" customHeight="1" x14ac:dyDescent="0.25">
      <c r="D4" s="120"/>
      <c r="E4" s="21"/>
      <c r="F4" s="23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125" t="s">
        <v>291</v>
      </c>
      <c r="S4" s="167"/>
      <c r="T4" s="167"/>
      <c r="X4" s="21"/>
      <c r="Y4" s="21"/>
      <c r="Z4" s="21"/>
      <c r="AA4" s="21"/>
      <c r="AB4" s="21"/>
      <c r="AC4" s="24"/>
      <c r="AD4" s="24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4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4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136"/>
      <c r="BT4" s="187"/>
      <c r="BU4" s="187"/>
      <c r="BV4" s="21"/>
      <c r="BW4" s="21"/>
      <c r="BX4" s="187"/>
      <c r="BY4" s="21"/>
      <c r="BZ4" s="21"/>
      <c r="CA4" s="173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</row>
    <row r="5" spans="1:120" s="18" customFormat="1" ht="30" customHeight="1" x14ac:dyDescent="0.25">
      <c r="A5" s="197" t="s">
        <v>144</v>
      </c>
      <c r="B5" s="197"/>
      <c r="C5" s="197"/>
      <c r="D5" s="198"/>
      <c r="E5" s="199" t="s">
        <v>145</v>
      </c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2" t="s">
        <v>282</v>
      </c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85"/>
      <c r="AE5" s="203" t="s">
        <v>281</v>
      </c>
      <c r="AF5" s="203"/>
      <c r="AG5" s="203"/>
      <c r="AH5" s="203"/>
      <c r="AI5" s="203"/>
      <c r="AJ5" s="203"/>
      <c r="AK5" s="203"/>
      <c r="AL5" s="203"/>
      <c r="AM5" s="203"/>
      <c r="AN5" s="203"/>
      <c r="AO5" s="204" t="s">
        <v>280</v>
      </c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5" t="s">
        <v>279</v>
      </c>
      <c r="BA5" s="205"/>
      <c r="BB5" s="205"/>
      <c r="BC5" s="206" t="s">
        <v>278</v>
      </c>
      <c r="BD5" s="206"/>
      <c r="BE5" s="206"/>
      <c r="BF5" s="208" t="s">
        <v>277</v>
      </c>
      <c r="BG5" s="208"/>
      <c r="BH5" s="208"/>
      <c r="BI5" s="208"/>
      <c r="BJ5" s="208"/>
      <c r="BK5" s="208"/>
      <c r="BL5" s="208"/>
      <c r="BM5" s="208"/>
      <c r="BN5" s="208"/>
      <c r="BO5" s="208"/>
      <c r="BP5" s="208"/>
      <c r="BQ5" s="208"/>
      <c r="BR5" s="208"/>
      <c r="BS5" s="207" t="s">
        <v>156</v>
      </c>
      <c r="BT5" s="207"/>
      <c r="BU5" s="207"/>
      <c r="BV5" s="207"/>
      <c r="BW5" s="207"/>
      <c r="BX5" s="207"/>
      <c r="BY5" s="201" t="s">
        <v>239</v>
      </c>
      <c r="BZ5" s="201"/>
    </row>
    <row r="6" spans="1:120" s="19" customFormat="1" ht="99" customHeight="1" x14ac:dyDescent="0.25">
      <c r="A6" s="47" t="s">
        <v>157</v>
      </c>
      <c r="B6" s="47" t="s">
        <v>158</v>
      </c>
      <c r="C6" s="47" t="s">
        <v>159</v>
      </c>
      <c r="D6" s="126" t="s">
        <v>164</v>
      </c>
      <c r="E6" s="48" t="s">
        <v>160</v>
      </c>
      <c r="F6" s="49" t="s">
        <v>284</v>
      </c>
      <c r="G6" s="49" t="s">
        <v>161</v>
      </c>
      <c r="H6" s="49" t="s">
        <v>162</v>
      </c>
      <c r="I6" s="49" t="s">
        <v>163</v>
      </c>
      <c r="J6" s="49" t="s">
        <v>283</v>
      </c>
      <c r="K6" s="49" t="s">
        <v>290</v>
      </c>
      <c r="L6" s="49" t="s">
        <v>2</v>
      </c>
      <c r="M6" s="49" t="s">
        <v>165</v>
      </c>
      <c r="N6" s="49" t="s">
        <v>166</v>
      </c>
      <c r="O6" s="49" t="s">
        <v>51</v>
      </c>
      <c r="P6" s="50" t="s">
        <v>167</v>
      </c>
      <c r="Q6" s="51" t="s">
        <v>168</v>
      </c>
      <c r="R6" s="51" t="s">
        <v>289</v>
      </c>
      <c r="S6" s="52" t="s">
        <v>169</v>
      </c>
      <c r="T6" s="52" t="s">
        <v>170</v>
      </c>
      <c r="U6" s="52" t="s">
        <v>171</v>
      </c>
      <c r="V6" s="52" t="s">
        <v>172</v>
      </c>
      <c r="W6" s="52" t="s">
        <v>173</v>
      </c>
      <c r="X6" s="52" t="s">
        <v>174</v>
      </c>
      <c r="Y6" s="52" t="s">
        <v>175</v>
      </c>
      <c r="Z6" s="52" t="s">
        <v>176</v>
      </c>
      <c r="AA6" s="52" t="s">
        <v>177</v>
      </c>
      <c r="AB6" s="52" t="s">
        <v>178</v>
      </c>
      <c r="AC6" s="52" t="s">
        <v>179</v>
      </c>
      <c r="AD6" s="105" t="s">
        <v>288</v>
      </c>
      <c r="AE6" s="58" t="s">
        <v>180</v>
      </c>
      <c r="AF6" s="59" t="s">
        <v>1</v>
      </c>
      <c r="AG6" s="59" t="s">
        <v>182</v>
      </c>
      <c r="AH6" s="59" t="s">
        <v>183</v>
      </c>
      <c r="AI6" s="59" t="s">
        <v>184</v>
      </c>
      <c r="AJ6" s="59" t="s">
        <v>185</v>
      </c>
      <c r="AK6" s="59" t="s">
        <v>181</v>
      </c>
      <c r="AL6" s="59" t="s">
        <v>226</v>
      </c>
      <c r="AM6" s="59" t="s">
        <v>227</v>
      </c>
      <c r="AN6" s="60" t="s">
        <v>225</v>
      </c>
      <c r="AO6" s="53" t="s">
        <v>186</v>
      </c>
      <c r="AP6" s="54" t="s">
        <v>187</v>
      </c>
      <c r="AQ6" s="54" t="s">
        <v>188</v>
      </c>
      <c r="AR6" s="54" t="s">
        <v>190</v>
      </c>
      <c r="AS6" s="54" t="s">
        <v>191</v>
      </c>
      <c r="AT6" s="54" t="s">
        <v>192</v>
      </c>
      <c r="AU6" s="54" t="s">
        <v>193</v>
      </c>
      <c r="AV6" s="54" t="s">
        <v>189</v>
      </c>
      <c r="AW6" s="54" t="s">
        <v>228</v>
      </c>
      <c r="AX6" s="54" t="s">
        <v>229</v>
      </c>
      <c r="AY6" s="55" t="s">
        <v>230</v>
      </c>
      <c r="AZ6" s="61" t="s">
        <v>194</v>
      </c>
      <c r="BA6" s="62" t="s">
        <v>195</v>
      </c>
      <c r="BB6" s="62" t="s">
        <v>196</v>
      </c>
      <c r="BC6" s="63" t="s">
        <v>199</v>
      </c>
      <c r="BD6" s="64" t="s">
        <v>200</v>
      </c>
      <c r="BE6" s="65" t="s">
        <v>201</v>
      </c>
      <c r="BF6" s="66" t="s">
        <v>202</v>
      </c>
      <c r="BG6" s="67" t="s">
        <v>203</v>
      </c>
      <c r="BH6" s="67" t="s">
        <v>237</v>
      </c>
      <c r="BI6" s="67" t="s">
        <v>231</v>
      </c>
      <c r="BJ6" s="67" t="s">
        <v>232</v>
      </c>
      <c r="BK6" s="67" t="s">
        <v>204</v>
      </c>
      <c r="BL6" s="67" t="s">
        <v>205</v>
      </c>
      <c r="BM6" s="67" t="s">
        <v>206</v>
      </c>
      <c r="BN6" s="67" t="s">
        <v>207</v>
      </c>
      <c r="BO6" s="67" t="s">
        <v>208</v>
      </c>
      <c r="BP6" s="67" t="s">
        <v>209</v>
      </c>
      <c r="BQ6" s="67" t="s">
        <v>210</v>
      </c>
      <c r="BR6" s="131" t="s">
        <v>293</v>
      </c>
      <c r="BS6" s="137" t="s">
        <v>233</v>
      </c>
      <c r="BT6" s="194" t="s">
        <v>238</v>
      </c>
      <c r="BU6" s="194" t="s">
        <v>292</v>
      </c>
      <c r="BV6" s="71" t="s">
        <v>211</v>
      </c>
      <c r="BW6" s="71" t="s">
        <v>212</v>
      </c>
      <c r="BX6" s="190" t="s">
        <v>213</v>
      </c>
      <c r="BY6" s="82" t="s">
        <v>210</v>
      </c>
      <c r="BZ6" s="177" t="s">
        <v>240</v>
      </c>
      <c r="CA6" s="179" t="s">
        <v>534</v>
      </c>
      <c r="CB6" s="182" t="s">
        <v>535</v>
      </c>
      <c r="CC6" s="182" t="s">
        <v>536</v>
      </c>
      <c r="CD6" s="182" t="s">
        <v>537</v>
      </c>
      <c r="CE6" s="182" t="s">
        <v>538</v>
      </c>
    </row>
    <row r="7" spans="1:120" ht="30" x14ac:dyDescent="0.25">
      <c r="A7" s="20">
        <f>IF(D7&lt;&gt;"",1,"")</f>
        <v>1</v>
      </c>
      <c r="B7" s="107" t="str">
        <f>IF(A7&lt;&gt;"",'EDC - PARAMETRAGE'!$A$3,"")</f>
        <v>GROUPE DEBAYLE</v>
      </c>
      <c r="C7" s="119">
        <f>IF(A7&lt;&gt;"",'EDC - PARAMETRAGE'!$A$6,"")</f>
        <v>42562</v>
      </c>
      <c r="D7" s="123" t="s">
        <v>294</v>
      </c>
      <c r="E7" s="111" t="s">
        <v>334</v>
      </c>
      <c r="F7" s="149">
        <v>8</v>
      </c>
      <c r="G7" s="32"/>
      <c r="H7" s="36" t="str">
        <f>IF(A7&lt;&gt;"","SDC","")</f>
        <v>SDC</v>
      </c>
      <c r="I7" s="32" t="s">
        <v>336</v>
      </c>
      <c r="J7" s="32"/>
      <c r="K7" s="127">
        <v>75018</v>
      </c>
      <c r="L7" s="32" t="s">
        <v>376</v>
      </c>
      <c r="M7" s="127"/>
      <c r="N7" s="127"/>
      <c r="O7" s="36" t="str">
        <f t="shared" ref="O7:O49" si="1">IF(A7&lt;&gt;"","&lt;1500","")</f>
        <v>&lt;1500</v>
      </c>
      <c r="P7" s="37"/>
      <c r="Q7" s="128">
        <v>3276</v>
      </c>
      <c r="R7" s="115">
        <f>IF(ISERROR(Q7/M7),0,Q7/M7)</f>
        <v>0</v>
      </c>
      <c r="S7" s="170" t="str">
        <f t="shared" ref="S7:S19" si="2">IF(A7&lt;&gt;"","SDCV","")</f>
        <v>SDCV</v>
      </c>
      <c r="T7" s="170" t="str">
        <f t="shared" ref="T7:T19" si="3">IF(A7&lt;&gt;"","0","")</f>
        <v>0</v>
      </c>
      <c r="U7" s="77">
        <f>IF(S7="HACO",T7*Q7,IF(S7="COMM",1*Q7,0))</f>
        <v>0</v>
      </c>
      <c r="V7" s="77">
        <f t="shared" ref="V7:V49" si="4">IF(S7="HABU",T7*Q7,IF(S7="BURE",1*Q7,0))</f>
        <v>0</v>
      </c>
      <c r="W7" s="77">
        <f t="shared" ref="W7:W49" si="5">Q7-U7-V7</f>
        <v>3276</v>
      </c>
      <c r="X7" s="32"/>
      <c r="Y7" s="127">
        <v>1</v>
      </c>
      <c r="Z7" s="127">
        <v>1</v>
      </c>
      <c r="AA7" s="127">
        <v>7</v>
      </c>
      <c r="AB7" s="32"/>
      <c r="AC7" s="104" t="str">
        <f t="shared" ref="AC7:AC49" si="6">IF(A7&lt;&gt;"","NON","")</f>
        <v>NON</v>
      </c>
      <c r="AD7" s="106"/>
      <c r="AE7" s="38"/>
      <c r="AF7" s="36" t="s">
        <v>18</v>
      </c>
      <c r="AG7" s="32"/>
      <c r="AH7" s="32"/>
      <c r="AI7" s="127"/>
      <c r="AJ7" s="32"/>
      <c r="AK7" s="150" t="s">
        <v>383</v>
      </c>
      <c r="AL7" s="157">
        <v>1</v>
      </c>
      <c r="AM7" s="157" t="s">
        <v>249</v>
      </c>
      <c r="AN7" s="162">
        <v>2558</v>
      </c>
      <c r="AO7" s="75" t="str">
        <f t="shared" ref="AO7:AO8" si="7">IF(AQ7&lt;&gt;"",1,"")</f>
        <v/>
      </c>
      <c r="AP7" s="40"/>
      <c r="AQ7" s="103"/>
      <c r="AR7" s="40"/>
      <c r="AS7" s="40"/>
      <c r="AT7" s="117"/>
      <c r="AU7" s="40"/>
      <c r="AV7" s="40"/>
      <c r="AW7" s="103"/>
      <c r="AX7" s="103"/>
      <c r="AY7" s="162"/>
      <c r="AZ7" s="38"/>
      <c r="BA7" s="32"/>
      <c r="BB7" s="35" t="str">
        <f t="shared" ref="BB7:BB49" si="8">IF(A7&lt;&gt;"","MRI","")</f>
        <v>MRI</v>
      </c>
      <c r="BC7" s="114" t="str">
        <f t="shared" ref="BC7:BC49" si="9">IF(A7&lt;&gt;"","NON","")</f>
        <v>NON</v>
      </c>
      <c r="BD7" s="35" t="str">
        <f t="shared" ref="BD7:BD49" si="10">IF(A7&lt;&gt;"","NON","")</f>
        <v>NON</v>
      </c>
      <c r="BE7" s="37" t="str">
        <f t="shared" ref="BE7:BE49" si="11">IF(A7&lt;&gt;"","NON","")</f>
        <v>NON</v>
      </c>
      <c r="BF7" s="38"/>
      <c r="BG7" s="77">
        <f>IF(ISERROR(VLOOKUP(A7,'Tableaux à actualiser'!$A$2:$C$1048576,2,FALSE)),0,VLOOKUP(A7,'Tableaux à actualiser'!$A$2:$C$1048576,2,FALSE))</f>
        <v>0</v>
      </c>
      <c r="BH7" s="78">
        <f>IF(ISERROR(VLOOKUP(A7,'Tableaux à actualiser'!$A$2:$C$1048576,3,FALSE)),0,VLOOKUP(A7,'Tableaux à actualiser'!$A$2:$C$1048576,3,FALSE))</f>
        <v>0</v>
      </c>
      <c r="BI7" s="78">
        <f>BT7-BU7-BV7-BW7</f>
        <v>2200.7799999999997</v>
      </c>
      <c r="BJ7" s="80">
        <f t="shared" ref="BJ7:BJ49" si="12">IF(A7&lt;&gt;"",IF(Q7=0,0,BI7/Q7),"")</f>
        <v>0.67178876678876676</v>
      </c>
      <c r="BK7" s="78">
        <f>BI7*0.86</f>
        <v>1892.6707999999996</v>
      </c>
      <c r="BL7" s="78">
        <f>BK7*0.95</f>
        <v>1798.0372599999996</v>
      </c>
      <c r="BM7" s="78">
        <f>BL7*0.95</f>
        <v>1708.1353969999996</v>
      </c>
      <c r="BN7" s="78">
        <f>BM7*0.95</f>
        <v>1622.7286271499995</v>
      </c>
      <c r="BO7" s="78">
        <f>SUM(BK7:BN7)</f>
        <v>7021.5720841499988</v>
      </c>
      <c r="BP7" s="84">
        <f>IF(ISERROR(BH7/BO7),0,BH7/BO7)</f>
        <v>0</v>
      </c>
      <c r="BQ7" s="79">
        <f>AN7+AY7</f>
        <v>2558</v>
      </c>
      <c r="BR7" s="132"/>
      <c r="BS7" s="138">
        <f t="shared" ref="BS7:BS49" si="13">IF(A7&lt;&gt;"",IF(Q7=0,0,BQ7/Q7),"")</f>
        <v>0.78083028083028083</v>
      </c>
      <c r="BT7" s="195">
        <f>BQ7*0.95</f>
        <v>2430.1</v>
      </c>
      <c r="BU7" s="195">
        <f>Q7*0.07</f>
        <v>229.32000000000002</v>
      </c>
      <c r="BV7" s="140"/>
      <c r="BW7" s="141"/>
      <c r="BX7" s="191">
        <f>BI7+BU7+BV7+BW7</f>
        <v>2430.1</v>
      </c>
      <c r="BY7" s="81">
        <f>BQ7</f>
        <v>2558</v>
      </c>
      <c r="BZ7" s="178">
        <f>BX7-BY7</f>
        <v>-127.90000000000009</v>
      </c>
      <c r="CA7" s="180" t="s">
        <v>501</v>
      </c>
      <c r="CB7" s="181"/>
      <c r="CC7" s="181"/>
      <c r="CD7" s="181"/>
      <c r="CE7" s="181"/>
    </row>
    <row r="8" spans="1:120" ht="30" x14ac:dyDescent="0.25">
      <c r="A8" s="20">
        <f t="shared" ref="A8:A49" si="14">IF(ISERROR(IF(D8&lt;&gt;"",A7+1,"")),"",IF(D8&lt;&gt;"",A7+1,""))</f>
        <v>2</v>
      </c>
      <c r="B8" s="107" t="str">
        <f>IF(A8&lt;&gt;"",'EDC - PARAMETRAGE'!$A$3,"")</f>
        <v>GROUPE DEBAYLE</v>
      </c>
      <c r="C8" s="119">
        <f>IF(A8&lt;&gt;"",'EDC - PARAMETRAGE'!$A$6,"")</f>
        <v>42562</v>
      </c>
      <c r="D8" s="123" t="s">
        <v>295</v>
      </c>
      <c r="E8" s="111" t="s">
        <v>334</v>
      </c>
      <c r="F8" s="149">
        <v>28</v>
      </c>
      <c r="G8" s="32"/>
      <c r="H8" s="36" t="str">
        <f t="shared" ref="H8:H40" si="15">IF(A8&lt;&gt;"","SDC","")</f>
        <v>SDC</v>
      </c>
      <c r="I8" s="32" t="s">
        <v>337</v>
      </c>
      <c r="J8" s="32"/>
      <c r="K8" s="127">
        <v>75009</v>
      </c>
      <c r="L8" s="32" t="s">
        <v>376</v>
      </c>
      <c r="M8" s="127"/>
      <c r="N8" s="127"/>
      <c r="O8" s="36" t="str">
        <f t="shared" si="1"/>
        <v>&lt;1500</v>
      </c>
      <c r="P8" s="37"/>
      <c r="Q8" s="128">
        <v>1500</v>
      </c>
      <c r="R8" s="115">
        <f>IF(ISERROR(Q8/M8),0,Q8/M8)</f>
        <v>0</v>
      </c>
      <c r="S8" s="170" t="str">
        <f t="shared" si="2"/>
        <v>SDCV</v>
      </c>
      <c r="T8" s="170" t="str">
        <f t="shared" si="3"/>
        <v>0</v>
      </c>
      <c r="U8" s="77">
        <f t="shared" ref="U8:U49" si="16">IF(S8="HACO",T8*Q8,IF(S8="COMM",1*Q8,0))</f>
        <v>0</v>
      </c>
      <c r="V8" s="77">
        <f t="shared" si="4"/>
        <v>0</v>
      </c>
      <c r="W8" s="77">
        <f t="shared" si="5"/>
        <v>1500</v>
      </c>
      <c r="X8" s="32"/>
      <c r="Y8" s="127">
        <v>1</v>
      </c>
      <c r="Z8" s="127">
        <v>1</v>
      </c>
      <c r="AA8" s="127">
        <v>6</v>
      </c>
      <c r="AB8" s="32"/>
      <c r="AC8" s="104" t="str">
        <f t="shared" si="6"/>
        <v>NON</v>
      </c>
      <c r="AD8" s="106"/>
      <c r="AE8" s="38"/>
      <c r="AF8" s="36" t="s">
        <v>18</v>
      </c>
      <c r="AG8" s="32"/>
      <c r="AH8" s="32"/>
      <c r="AI8" s="127"/>
      <c r="AJ8" s="32"/>
      <c r="AK8" s="150" t="s">
        <v>384</v>
      </c>
      <c r="AL8" s="157">
        <v>1</v>
      </c>
      <c r="AM8" s="157" t="s">
        <v>243</v>
      </c>
      <c r="AN8" s="162">
        <v>2174</v>
      </c>
      <c r="AO8" s="75">
        <f t="shared" si="7"/>
        <v>1</v>
      </c>
      <c r="AP8" s="40" t="s">
        <v>417</v>
      </c>
      <c r="AQ8" s="103" t="s">
        <v>262</v>
      </c>
      <c r="AR8" s="40" t="s">
        <v>418</v>
      </c>
      <c r="AS8" s="40" t="s">
        <v>419</v>
      </c>
      <c r="AT8" s="117">
        <v>92415</v>
      </c>
      <c r="AU8" s="40" t="s">
        <v>420</v>
      </c>
      <c r="AV8" s="40">
        <v>76350129101</v>
      </c>
      <c r="AW8" s="103">
        <v>1</v>
      </c>
      <c r="AX8" s="103" t="s">
        <v>246</v>
      </c>
      <c r="AY8" s="162">
        <v>152</v>
      </c>
      <c r="AZ8" s="38"/>
      <c r="BA8" s="32"/>
      <c r="BB8" s="35" t="str">
        <f t="shared" si="8"/>
        <v>MRI</v>
      </c>
      <c r="BC8" s="114" t="str">
        <f t="shared" si="9"/>
        <v>NON</v>
      </c>
      <c r="BD8" s="35" t="str">
        <f t="shared" si="10"/>
        <v>NON</v>
      </c>
      <c r="BE8" s="37" t="str">
        <f t="shared" si="11"/>
        <v>NON</v>
      </c>
      <c r="BF8" s="38"/>
      <c r="BG8" s="77">
        <f>IF(ISERROR(VLOOKUP(A8,'Tableaux à actualiser'!$A$2:$C$1048576,2,FALSE)),0,VLOOKUP(A8,'Tableaux à actualiser'!$A$2:$C$1048576,2,FALSE))</f>
        <v>5</v>
      </c>
      <c r="BH8" s="78">
        <f>IF(ISERROR(VLOOKUP(A8,'Tableaux à actualiser'!$A$2:$C$1048576,3,FALSE)),0,VLOOKUP(A8,'Tableaux à actualiser'!$A$2:$C$1048576,3,FALSE))</f>
        <v>3186</v>
      </c>
      <c r="BI8" s="78">
        <f t="shared" ref="BI8:BI49" si="17">BT8-BU8-BV8-BW8</f>
        <v>1988.4</v>
      </c>
      <c r="BJ8" s="80">
        <f t="shared" si="12"/>
        <v>1.3256000000000001</v>
      </c>
      <c r="BK8" s="78">
        <f t="shared" ref="BK8:BK16" si="18">BI8*0.86</f>
        <v>1710.0240000000001</v>
      </c>
      <c r="BL8" s="78">
        <f t="shared" ref="BL8:BN8" si="19">BK8*0.95</f>
        <v>1624.5228</v>
      </c>
      <c r="BM8" s="78">
        <f t="shared" si="19"/>
        <v>1543.29666</v>
      </c>
      <c r="BN8" s="78">
        <f t="shared" si="19"/>
        <v>1466.1318269999999</v>
      </c>
      <c r="BO8" s="78">
        <f>SUM(BK8:BN8)</f>
        <v>6343.9752870000002</v>
      </c>
      <c r="BP8" s="84">
        <f>IF(ISERROR(BH8/BO8),0,BH8/BO8)</f>
        <v>0.50220876593399</v>
      </c>
      <c r="BQ8" s="79">
        <f t="shared" ref="BQ8:BQ49" si="20">AN8+AY8</f>
        <v>2326</v>
      </c>
      <c r="BR8" s="132"/>
      <c r="BS8" s="138">
        <f t="shared" si="13"/>
        <v>1.5506666666666666</v>
      </c>
      <c r="BT8" s="195">
        <f>BQ8*0.9</f>
        <v>2093.4</v>
      </c>
      <c r="BU8" s="195">
        <f t="shared" ref="BU8:BU49" si="21">Q8*0.07</f>
        <v>105.00000000000001</v>
      </c>
      <c r="BV8" s="140"/>
      <c r="BW8" s="141"/>
      <c r="BX8" s="191">
        <f>BI8+BU8+BV8+BW8</f>
        <v>2093.4</v>
      </c>
      <c r="BY8" s="81">
        <f>BQ8</f>
        <v>2326</v>
      </c>
      <c r="BZ8" s="178">
        <f t="shared" ref="BZ8:BZ49" si="22">BX8-BY8</f>
        <v>-232.59999999999991</v>
      </c>
      <c r="CA8" s="180" t="s">
        <v>501</v>
      </c>
      <c r="CB8" s="181"/>
      <c r="CC8" s="181"/>
      <c r="CD8" s="181"/>
      <c r="CE8" s="181"/>
    </row>
    <row r="9" spans="1:120" x14ac:dyDescent="0.25">
      <c r="A9" s="20">
        <f t="shared" si="14"/>
        <v>3</v>
      </c>
      <c r="B9" s="107" t="str">
        <f>IF(A9&lt;&gt;"",'EDC - PARAMETRAGE'!$A$3,"")</f>
        <v>GROUPE DEBAYLE</v>
      </c>
      <c r="C9" s="119">
        <f>IF(A9&lt;&gt;"",'EDC - PARAMETRAGE'!$A$6,"")</f>
        <v>42562</v>
      </c>
      <c r="D9" s="123" t="s">
        <v>296</v>
      </c>
      <c r="E9" s="111" t="s">
        <v>334</v>
      </c>
      <c r="F9" s="149">
        <v>34</v>
      </c>
      <c r="G9" s="32"/>
      <c r="H9" s="36" t="str">
        <f t="shared" si="15"/>
        <v>SDC</v>
      </c>
      <c r="I9" s="32" t="s">
        <v>338</v>
      </c>
      <c r="J9" s="32"/>
      <c r="K9" s="127">
        <v>75009</v>
      </c>
      <c r="L9" s="32" t="s">
        <v>376</v>
      </c>
      <c r="M9" s="127"/>
      <c r="N9" s="127"/>
      <c r="O9" s="36" t="str">
        <f t="shared" si="1"/>
        <v>&lt;1500</v>
      </c>
      <c r="P9" s="37"/>
      <c r="Q9" s="128">
        <v>1186</v>
      </c>
      <c r="R9" s="115">
        <f>IF(ISERROR(Q9/M9),0,Q9/M9)</f>
        <v>0</v>
      </c>
      <c r="S9" s="170" t="str">
        <f t="shared" si="2"/>
        <v>SDCV</v>
      </c>
      <c r="T9" s="170" t="str">
        <f t="shared" si="3"/>
        <v>0</v>
      </c>
      <c r="U9" s="77">
        <f t="shared" si="16"/>
        <v>0</v>
      </c>
      <c r="V9" s="77">
        <f t="shared" si="4"/>
        <v>0</v>
      </c>
      <c r="W9" s="77">
        <f t="shared" si="5"/>
        <v>1186</v>
      </c>
      <c r="X9" s="32"/>
      <c r="Y9" s="127">
        <v>1</v>
      </c>
      <c r="Z9" s="127">
        <v>1</v>
      </c>
      <c r="AA9" s="127">
        <v>7</v>
      </c>
      <c r="AB9" s="32"/>
      <c r="AC9" s="104" t="str">
        <f t="shared" si="6"/>
        <v>NON</v>
      </c>
      <c r="AD9" s="106"/>
      <c r="AE9" s="38" t="s">
        <v>385</v>
      </c>
      <c r="AF9" s="36" t="s">
        <v>260</v>
      </c>
      <c r="AG9" s="32" t="s">
        <v>386</v>
      </c>
      <c r="AH9" s="32"/>
      <c r="AI9" s="127">
        <v>75001</v>
      </c>
      <c r="AJ9" s="32" t="s">
        <v>376</v>
      </c>
      <c r="AK9" s="150">
        <v>4908268304</v>
      </c>
      <c r="AL9" s="157">
        <v>12</v>
      </c>
      <c r="AM9" s="157" t="s">
        <v>254</v>
      </c>
      <c r="AN9" s="162">
        <v>3662.83</v>
      </c>
      <c r="AO9" s="75"/>
      <c r="AP9" s="40"/>
      <c r="AQ9" s="103"/>
      <c r="AR9" s="40"/>
      <c r="AS9" s="40"/>
      <c r="AT9" s="117"/>
      <c r="AU9" s="40"/>
      <c r="AV9" s="40"/>
      <c r="AW9" s="103"/>
      <c r="AX9" s="103"/>
      <c r="AY9" s="162"/>
      <c r="AZ9" s="38"/>
      <c r="BA9" s="32" t="s">
        <v>484</v>
      </c>
      <c r="BB9" s="35" t="str">
        <f t="shared" si="8"/>
        <v>MRI</v>
      </c>
      <c r="BC9" s="114" t="str">
        <f t="shared" si="9"/>
        <v>NON</v>
      </c>
      <c r="BD9" s="35" t="str">
        <f t="shared" si="10"/>
        <v>NON</v>
      </c>
      <c r="BE9" s="37" t="str">
        <f t="shared" si="11"/>
        <v>NON</v>
      </c>
      <c r="BF9" s="38"/>
      <c r="BG9" s="77">
        <f>IF(ISERROR(VLOOKUP(A9,'Tableaux à actualiser'!$A$2:$C$1048576,2,FALSE)),0,VLOOKUP(A9,'Tableaux à actualiser'!$A$2:$C$1048576,2,FALSE))</f>
        <v>2</v>
      </c>
      <c r="BH9" s="78">
        <f>IF(ISERROR(VLOOKUP(A9,'Tableaux à actualiser'!$A$2:$C$1048576,3,FALSE)),0,VLOOKUP(A9,'Tableaux à actualiser'!$A$2:$C$1048576,3,FALSE))</f>
        <v>1466</v>
      </c>
      <c r="BI9" s="78">
        <f t="shared" si="17"/>
        <v>3030.3854999999999</v>
      </c>
      <c r="BJ9" s="80">
        <f t="shared" si="12"/>
        <v>2.5551311129848226</v>
      </c>
      <c r="BK9" s="78">
        <f t="shared" si="18"/>
        <v>2606.1315299999997</v>
      </c>
      <c r="BL9" s="78">
        <f t="shared" ref="BL9:BN9" si="23">BK9*0.95</f>
        <v>2475.8249534999995</v>
      </c>
      <c r="BM9" s="78">
        <f t="shared" si="23"/>
        <v>2352.0337058249993</v>
      </c>
      <c r="BN9" s="78">
        <f t="shared" si="23"/>
        <v>2234.4320205337494</v>
      </c>
      <c r="BO9" s="78">
        <f t="shared" ref="BO9:BO49" si="24">SUM(BK9:BN9)</f>
        <v>9668.4222098587488</v>
      </c>
      <c r="BP9" s="84">
        <f>IF(ISERROR(BH9/BO9),0,BH9/BO9)</f>
        <v>0.15162763563481343</v>
      </c>
      <c r="BQ9" s="79">
        <f t="shared" si="20"/>
        <v>3662.83</v>
      </c>
      <c r="BR9" s="132" t="s">
        <v>49</v>
      </c>
      <c r="BS9" s="138">
        <f t="shared" si="13"/>
        <v>3.088389544688027</v>
      </c>
      <c r="BT9" s="195">
        <f>BQ9*0.85</f>
        <v>3113.4054999999998</v>
      </c>
      <c r="BU9" s="195">
        <f t="shared" si="21"/>
        <v>83.02000000000001</v>
      </c>
      <c r="BV9" s="140"/>
      <c r="BW9" s="141"/>
      <c r="BX9" s="191">
        <f t="shared" ref="BX9:BX49" si="25">BI9+BU9+BV9+BW9</f>
        <v>3113.4054999999998</v>
      </c>
      <c r="BY9" s="81">
        <f>BQ9</f>
        <v>3662.83</v>
      </c>
      <c r="BZ9" s="178">
        <f t="shared" si="22"/>
        <v>-549.42450000000008</v>
      </c>
      <c r="CA9" s="180"/>
      <c r="CB9" s="181"/>
      <c r="CC9" s="181"/>
      <c r="CD9" s="181"/>
      <c r="CE9" s="181"/>
    </row>
    <row r="10" spans="1:120" x14ac:dyDescent="0.25">
      <c r="A10" s="20">
        <f t="shared" si="14"/>
        <v>4</v>
      </c>
      <c r="B10" s="107" t="str">
        <f>IF(A10&lt;&gt;"",'EDC - PARAMETRAGE'!$A$3,"")</f>
        <v>GROUPE DEBAYLE</v>
      </c>
      <c r="C10" s="119">
        <f>IF(A10&lt;&gt;"",'EDC - PARAMETRAGE'!$A$6,"")</f>
        <v>42562</v>
      </c>
      <c r="D10" s="123" t="s">
        <v>297</v>
      </c>
      <c r="E10" s="111" t="s">
        <v>334</v>
      </c>
      <c r="F10" s="149">
        <v>41</v>
      </c>
      <c r="G10" s="32"/>
      <c r="H10" s="36" t="str">
        <f t="shared" si="15"/>
        <v>SDC</v>
      </c>
      <c r="I10" s="32" t="s">
        <v>339</v>
      </c>
      <c r="J10" s="32"/>
      <c r="K10" s="127">
        <v>75009</v>
      </c>
      <c r="L10" s="32" t="s">
        <v>376</v>
      </c>
      <c r="M10" s="127"/>
      <c r="N10" s="127"/>
      <c r="O10" s="36" t="str">
        <f t="shared" si="1"/>
        <v>&lt;1500</v>
      </c>
      <c r="P10" s="37"/>
      <c r="Q10" s="128">
        <v>1300</v>
      </c>
      <c r="R10" s="115">
        <f>IF(ISERROR(Q10/M10),0,Q10/M10)</f>
        <v>0</v>
      </c>
      <c r="S10" s="170" t="str">
        <f t="shared" si="2"/>
        <v>SDCV</v>
      </c>
      <c r="T10" s="170" t="str">
        <f t="shared" si="3"/>
        <v>0</v>
      </c>
      <c r="U10" s="77">
        <f t="shared" si="16"/>
        <v>0</v>
      </c>
      <c r="V10" s="77">
        <f t="shared" si="4"/>
        <v>0</v>
      </c>
      <c r="W10" s="77">
        <f t="shared" si="5"/>
        <v>1300</v>
      </c>
      <c r="X10" s="32"/>
      <c r="Y10" s="127">
        <v>1</v>
      </c>
      <c r="Z10" s="127">
        <v>1</v>
      </c>
      <c r="AA10" s="127">
        <v>7</v>
      </c>
      <c r="AB10" s="32"/>
      <c r="AC10" s="104" t="str">
        <f t="shared" si="6"/>
        <v>NON</v>
      </c>
      <c r="AD10" s="106"/>
      <c r="AE10" s="38" t="s">
        <v>387</v>
      </c>
      <c r="AF10" s="36" t="s">
        <v>19</v>
      </c>
      <c r="AG10" s="32" t="s">
        <v>388</v>
      </c>
      <c r="AH10" s="32"/>
      <c r="AI10" s="127">
        <v>41000</v>
      </c>
      <c r="AJ10" s="32" t="s">
        <v>389</v>
      </c>
      <c r="AK10" s="150" t="s">
        <v>390</v>
      </c>
      <c r="AL10" s="157">
        <v>1</v>
      </c>
      <c r="AM10" s="157" t="s">
        <v>246</v>
      </c>
      <c r="AN10" s="162">
        <v>1507.51</v>
      </c>
      <c r="AO10" s="75" t="str">
        <f>IF(AQ10&lt;&gt;"",1,"")</f>
        <v/>
      </c>
      <c r="AP10" s="40"/>
      <c r="AQ10" s="103"/>
      <c r="AR10" s="40"/>
      <c r="AS10" s="40"/>
      <c r="AT10" s="117"/>
      <c r="AU10" s="40"/>
      <c r="AV10" s="40"/>
      <c r="AW10" s="103"/>
      <c r="AX10" s="103"/>
      <c r="AY10" s="162"/>
      <c r="AZ10" s="38"/>
      <c r="BA10" s="32"/>
      <c r="BB10" s="35" t="str">
        <f t="shared" si="8"/>
        <v>MRI</v>
      </c>
      <c r="BC10" s="114" t="str">
        <f t="shared" si="9"/>
        <v>NON</v>
      </c>
      <c r="BD10" s="35" t="str">
        <f t="shared" si="10"/>
        <v>NON</v>
      </c>
      <c r="BE10" s="37" t="str">
        <f t="shared" si="11"/>
        <v>NON</v>
      </c>
      <c r="BF10" s="38"/>
      <c r="BG10" s="77">
        <f>IF(ISERROR(VLOOKUP(A10,'Tableaux à actualiser'!$A$2:$C$1048576,2,FALSE)),0,VLOOKUP(A10,'Tableaux à actualiser'!$A$2:$C$1048576,2,FALSE))</f>
        <v>0</v>
      </c>
      <c r="BH10" s="78">
        <f>IF(ISERROR(VLOOKUP(A10,'Tableaux à actualiser'!$A$2:$C$1048576,3,FALSE)),0,VLOOKUP(A10,'Tableaux à actualiser'!$A$2:$C$1048576,3,FALSE))</f>
        <v>0</v>
      </c>
      <c r="BI10" s="78">
        <f t="shared" si="17"/>
        <v>1416.51</v>
      </c>
      <c r="BJ10" s="80">
        <f t="shared" si="12"/>
        <v>1.0896230769230768</v>
      </c>
      <c r="BK10" s="78">
        <f t="shared" si="18"/>
        <v>1218.1985999999999</v>
      </c>
      <c r="BL10" s="78">
        <f t="shared" ref="BL10:BN10" si="26">BK10*0.95</f>
        <v>1157.2886699999999</v>
      </c>
      <c r="BM10" s="78">
        <f t="shared" si="26"/>
        <v>1099.4242364999998</v>
      </c>
      <c r="BN10" s="78">
        <f t="shared" si="26"/>
        <v>1044.4530246749998</v>
      </c>
      <c r="BO10" s="78">
        <f t="shared" si="24"/>
        <v>4519.3645311749997</v>
      </c>
      <c r="BP10" s="84">
        <f>IF(ISERROR(BH10/BO10),0,BH10/BO10)</f>
        <v>0</v>
      </c>
      <c r="BQ10" s="79">
        <f t="shared" si="20"/>
        <v>1507.51</v>
      </c>
      <c r="BR10" s="132"/>
      <c r="BS10" s="138">
        <f t="shared" si="13"/>
        <v>1.1596230769230769</v>
      </c>
      <c r="BT10" s="195">
        <f>BQ10*1</f>
        <v>1507.51</v>
      </c>
      <c r="BU10" s="195">
        <f t="shared" si="21"/>
        <v>91.000000000000014</v>
      </c>
      <c r="BV10" s="140"/>
      <c r="BW10" s="141"/>
      <c r="BX10" s="191">
        <f t="shared" si="25"/>
        <v>1507.51</v>
      </c>
      <c r="BY10" s="81">
        <f>BQ10</f>
        <v>1507.51</v>
      </c>
      <c r="BZ10" s="178">
        <f t="shared" si="22"/>
        <v>0</v>
      </c>
      <c r="CA10" s="180"/>
      <c r="CB10" s="181"/>
      <c r="CC10" s="181"/>
      <c r="CD10" s="181"/>
      <c r="CE10" s="181"/>
    </row>
    <row r="11" spans="1:120" x14ac:dyDescent="0.25">
      <c r="A11" s="20">
        <f t="shared" si="14"/>
        <v>5</v>
      </c>
      <c r="B11" s="107" t="str">
        <f>IF(A11&lt;&gt;"",'EDC - PARAMETRAGE'!$A$3,"")</f>
        <v>GROUPE DEBAYLE</v>
      </c>
      <c r="C11" s="119">
        <f>IF(A11&lt;&gt;"",'EDC - PARAMETRAGE'!$A$6,"")</f>
        <v>42562</v>
      </c>
      <c r="D11" s="123" t="s">
        <v>298</v>
      </c>
      <c r="E11" s="111" t="s">
        <v>334</v>
      </c>
      <c r="F11" s="149">
        <v>58</v>
      </c>
      <c r="G11" s="32"/>
      <c r="H11" s="36" t="str">
        <f t="shared" si="15"/>
        <v>SDC</v>
      </c>
      <c r="I11" s="32" t="s">
        <v>340</v>
      </c>
      <c r="J11" s="32"/>
      <c r="K11" s="127">
        <v>92300</v>
      </c>
      <c r="L11" s="32" t="s">
        <v>377</v>
      </c>
      <c r="M11" s="127"/>
      <c r="N11" s="127"/>
      <c r="O11" s="36" t="str">
        <f t="shared" si="1"/>
        <v>&lt;1500</v>
      </c>
      <c r="P11" s="37"/>
      <c r="Q11" s="128">
        <v>1584</v>
      </c>
      <c r="R11" s="115">
        <f t="shared" ref="R11:R49" si="27">IF(ISERROR(Q11/M11),0,Q11/M11)</f>
        <v>0</v>
      </c>
      <c r="S11" s="170" t="str">
        <f t="shared" si="2"/>
        <v>SDCV</v>
      </c>
      <c r="T11" s="170" t="str">
        <f t="shared" si="3"/>
        <v>0</v>
      </c>
      <c r="U11" s="77">
        <f t="shared" si="16"/>
        <v>0</v>
      </c>
      <c r="V11" s="77">
        <f t="shared" si="4"/>
        <v>0</v>
      </c>
      <c r="W11" s="77">
        <f t="shared" si="5"/>
        <v>1584</v>
      </c>
      <c r="X11" s="32"/>
      <c r="Y11" s="127">
        <v>1</v>
      </c>
      <c r="Z11" s="127">
        <v>1</v>
      </c>
      <c r="AA11" s="127">
        <v>7</v>
      </c>
      <c r="AB11" s="32"/>
      <c r="AC11" s="104" t="str">
        <f t="shared" si="6"/>
        <v>NON</v>
      </c>
      <c r="AD11" s="106"/>
      <c r="AE11" s="38" t="s">
        <v>391</v>
      </c>
      <c r="AF11" s="36" t="s">
        <v>64</v>
      </c>
      <c r="AG11" s="32" t="s">
        <v>392</v>
      </c>
      <c r="AH11" s="32"/>
      <c r="AI11" s="127">
        <v>75008</v>
      </c>
      <c r="AJ11" s="32" t="s">
        <v>376</v>
      </c>
      <c r="AK11" s="150">
        <v>44197139</v>
      </c>
      <c r="AL11" s="157">
        <v>5</v>
      </c>
      <c r="AM11" s="157" t="s">
        <v>245</v>
      </c>
      <c r="AN11" s="162">
        <v>3374.76</v>
      </c>
      <c r="AO11" s="75" t="str">
        <f t="shared" ref="AO11:AO49" si="28">IF(AQ11&lt;&gt;"",1,"")</f>
        <v/>
      </c>
      <c r="AP11" s="40"/>
      <c r="AQ11" s="103"/>
      <c r="AR11" s="40"/>
      <c r="AS11" s="40"/>
      <c r="AT11" s="117"/>
      <c r="AU11" s="40"/>
      <c r="AV11" s="40"/>
      <c r="AW11" s="103"/>
      <c r="AX11" s="103"/>
      <c r="AY11" s="162"/>
      <c r="AZ11" s="38"/>
      <c r="BA11" s="32"/>
      <c r="BB11" s="35" t="str">
        <f t="shared" si="8"/>
        <v>MRI</v>
      </c>
      <c r="BC11" s="114" t="str">
        <f t="shared" si="9"/>
        <v>NON</v>
      </c>
      <c r="BD11" s="35" t="str">
        <f t="shared" si="10"/>
        <v>NON</v>
      </c>
      <c r="BE11" s="37" t="str">
        <f t="shared" si="11"/>
        <v>NON</v>
      </c>
      <c r="BF11" s="38"/>
      <c r="BG11" s="77">
        <f>IF(ISERROR(VLOOKUP(A11,'Tableaux à actualiser'!$A$2:$C$1048576,2,FALSE)),0,VLOOKUP(A11,'Tableaux à actualiser'!$A$2:$C$1048576,2,FALSE))</f>
        <v>0</v>
      </c>
      <c r="BH11" s="78">
        <f>IF(ISERROR(VLOOKUP(A11,'Tableaux à actualiser'!$A$2:$C$1048576,3,FALSE)),0,VLOOKUP(A11,'Tableaux à actualiser'!$A$2:$C$1048576,3,FALSE))</f>
        <v>0</v>
      </c>
      <c r="BI11" s="78">
        <f t="shared" si="17"/>
        <v>3095.1419999999998</v>
      </c>
      <c r="BJ11" s="80">
        <f t="shared" si="12"/>
        <v>1.9540037878787877</v>
      </c>
      <c r="BK11" s="78">
        <f t="shared" si="18"/>
        <v>2661.8221199999998</v>
      </c>
      <c r="BL11" s="78">
        <f t="shared" ref="BL11:BN11" si="29">BK11*0.95</f>
        <v>2528.7310139999995</v>
      </c>
      <c r="BM11" s="78">
        <f t="shared" si="29"/>
        <v>2402.2944632999993</v>
      </c>
      <c r="BN11" s="78">
        <f t="shared" si="29"/>
        <v>2282.1797401349991</v>
      </c>
      <c r="BO11" s="78">
        <f t="shared" si="24"/>
        <v>9875.0273374349981</v>
      </c>
      <c r="BP11" s="84">
        <f t="shared" ref="BP11:BP12" si="30">IF(ISERROR(BH11/BO11),0,BH11/BO11)</f>
        <v>0</v>
      </c>
      <c r="BQ11" s="79">
        <f t="shared" si="20"/>
        <v>3374.76</v>
      </c>
      <c r="BR11" s="132" t="s">
        <v>49</v>
      </c>
      <c r="BS11" s="138">
        <f t="shared" si="13"/>
        <v>2.1305303030303033</v>
      </c>
      <c r="BT11" s="195">
        <f t="shared" ref="BT11:BT49" si="31">BQ11*0.95</f>
        <v>3206.0219999999999</v>
      </c>
      <c r="BU11" s="195">
        <f t="shared" si="21"/>
        <v>110.88000000000001</v>
      </c>
      <c r="BV11" s="140"/>
      <c r="BW11" s="141"/>
      <c r="BX11" s="191">
        <f t="shared" si="25"/>
        <v>3206.0219999999999</v>
      </c>
      <c r="BY11" s="81">
        <f>BQ11</f>
        <v>3374.76</v>
      </c>
      <c r="BZ11" s="178">
        <f t="shared" si="22"/>
        <v>-168.73800000000028</v>
      </c>
      <c r="CA11" s="180"/>
      <c r="CB11" s="181"/>
      <c r="CC11" s="181"/>
      <c r="CD11" s="181"/>
      <c r="CE11" s="181"/>
    </row>
    <row r="12" spans="1:120" ht="30" x14ac:dyDescent="0.25">
      <c r="A12" s="20">
        <f t="shared" si="14"/>
        <v>6</v>
      </c>
      <c r="B12" s="107" t="str">
        <f>IF(A12&lt;&gt;"",'EDC - PARAMETRAGE'!$A$3,"")</f>
        <v>GROUPE DEBAYLE</v>
      </c>
      <c r="C12" s="119">
        <f>IF(A12&lt;&gt;"",'EDC - PARAMETRAGE'!$A$6,"")</f>
        <v>42562</v>
      </c>
      <c r="D12" s="123" t="s">
        <v>299</v>
      </c>
      <c r="E12" s="111" t="s">
        <v>334</v>
      </c>
      <c r="F12" s="149">
        <v>82</v>
      </c>
      <c r="G12" s="32"/>
      <c r="H12" s="36" t="str">
        <f t="shared" si="15"/>
        <v>SDC</v>
      </c>
      <c r="I12" s="32" t="s">
        <v>341</v>
      </c>
      <c r="J12" s="32"/>
      <c r="K12" s="127">
        <v>75013</v>
      </c>
      <c r="L12" s="32" t="s">
        <v>376</v>
      </c>
      <c r="M12" s="127"/>
      <c r="N12" s="127"/>
      <c r="O12" s="36" t="str">
        <f t="shared" si="1"/>
        <v>&lt;1500</v>
      </c>
      <c r="P12" s="37"/>
      <c r="Q12" s="128">
        <v>0</v>
      </c>
      <c r="R12" s="115">
        <f t="shared" si="27"/>
        <v>0</v>
      </c>
      <c r="S12" s="170" t="str">
        <f t="shared" si="2"/>
        <v>SDCV</v>
      </c>
      <c r="T12" s="170" t="str">
        <f t="shared" si="3"/>
        <v>0</v>
      </c>
      <c r="U12" s="77">
        <f t="shared" si="16"/>
        <v>0</v>
      </c>
      <c r="V12" s="77">
        <f t="shared" si="4"/>
        <v>0</v>
      </c>
      <c r="W12" s="77">
        <f t="shared" si="5"/>
        <v>0</v>
      </c>
      <c r="X12" s="32"/>
      <c r="Y12" s="127">
        <v>1</v>
      </c>
      <c r="Z12" s="127">
        <v>1</v>
      </c>
      <c r="AA12" s="127">
        <v>6</v>
      </c>
      <c r="AB12" s="32" t="s">
        <v>382</v>
      </c>
      <c r="AC12" s="104" t="str">
        <f t="shared" si="6"/>
        <v>NON</v>
      </c>
      <c r="AD12" s="106"/>
      <c r="AE12" s="38" t="s">
        <v>393</v>
      </c>
      <c r="AF12" s="36" t="s">
        <v>265</v>
      </c>
      <c r="AG12" s="32" t="s">
        <v>394</v>
      </c>
      <c r="AH12" s="32"/>
      <c r="AI12" s="127">
        <v>75008</v>
      </c>
      <c r="AJ12" s="32" t="s">
        <v>376</v>
      </c>
      <c r="AK12" s="158" t="s">
        <v>395</v>
      </c>
      <c r="AL12" s="157">
        <v>1</v>
      </c>
      <c r="AM12" s="157" t="s">
        <v>243</v>
      </c>
      <c r="AN12" s="162">
        <v>73741</v>
      </c>
      <c r="AO12" s="75" t="str">
        <f t="shared" si="28"/>
        <v/>
      </c>
      <c r="AP12" s="40"/>
      <c r="AQ12" s="103"/>
      <c r="AR12" s="40"/>
      <c r="AS12" s="40"/>
      <c r="AT12" s="117"/>
      <c r="AU12" s="40"/>
      <c r="AV12" s="40"/>
      <c r="AW12" s="103"/>
      <c r="AX12" s="103"/>
      <c r="AY12" s="162"/>
      <c r="AZ12" s="38"/>
      <c r="BA12" s="32" t="s">
        <v>485</v>
      </c>
      <c r="BB12" s="35" t="str">
        <f t="shared" si="8"/>
        <v>MRI</v>
      </c>
      <c r="BC12" s="114" t="str">
        <f t="shared" si="9"/>
        <v>NON</v>
      </c>
      <c r="BD12" s="35" t="str">
        <f t="shared" si="10"/>
        <v>NON</v>
      </c>
      <c r="BE12" s="37" t="str">
        <f t="shared" si="11"/>
        <v>NON</v>
      </c>
      <c r="BF12" s="38"/>
      <c r="BG12" s="77">
        <f>IF(ISERROR(VLOOKUP(A12,'Tableaux à actualiser'!$A$2:$C$1048576,2,FALSE)),0,VLOOKUP(A12,'Tableaux à actualiser'!$A$2:$C$1048576,2,FALSE))</f>
        <v>0</v>
      </c>
      <c r="BH12" s="78">
        <f>IF(ISERROR(VLOOKUP(A12,'Tableaux à actualiser'!$A$2:$C$1048576,3,FALSE)),0,VLOOKUP(A12,'Tableaux à actualiser'!$A$2:$C$1048576,3,FALSE))</f>
        <v>0</v>
      </c>
      <c r="BI12" s="78">
        <f t="shared" si="17"/>
        <v>70053.95</v>
      </c>
      <c r="BJ12" s="80">
        <f t="shared" si="12"/>
        <v>0</v>
      </c>
      <c r="BK12" s="78">
        <f t="shared" si="18"/>
        <v>60246.396999999997</v>
      </c>
      <c r="BL12" s="78">
        <f t="shared" ref="BL12:BN13" si="32">BK12*0.95</f>
        <v>57234.077149999997</v>
      </c>
      <c r="BM12" s="78">
        <f t="shared" si="32"/>
        <v>54372.373292499993</v>
      </c>
      <c r="BN12" s="78">
        <f t="shared" si="32"/>
        <v>51653.754627874994</v>
      </c>
      <c r="BO12" s="78">
        <f t="shared" si="24"/>
        <v>223506.602070375</v>
      </c>
      <c r="BP12" s="84">
        <f t="shared" si="30"/>
        <v>0</v>
      </c>
      <c r="BQ12" s="79">
        <f t="shared" si="20"/>
        <v>73741</v>
      </c>
      <c r="BR12" s="132"/>
      <c r="BS12" s="138">
        <f t="shared" si="13"/>
        <v>0</v>
      </c>
      <c r="BT12" s="195">
        <f t="shared" si="31"/>
        <v>70053.95</v>
      </c>
      <c r="BU12" s="195">
        <f t="shared" si="21"/>
        <v>0</v>
      </c>
      <c r="BV12" s="140"/>
      <c r="BW12" s="141"/>
      <c r="BX12" s="191">
        <f t="shared" si="25"/>
        <v>70053.95</v>
      </c>
      <c r="BY12" s="81">
        <f t="shared" ref="BY12:BY49" si="33">BQ12</f>
        <v>73741</v>
      </c>
      <c r="BZ12" s="178">
        <f t="shared" si="22"/>
        <v>-3687.0500000000029</v>
      </c>
      <c r="CA12" s="180" t="s">
        <v>500</v>
      </c>
      <c r="CB12" s="181"/>
      <c r="CC12" s="181"/>
      <c r="CD12" s="181"/>
      <c r="CE12" s="181"/>
    </row>
    <row r="13" spans="1:120" x14ac:dyDescent="0.25">
      <c r="A13" s="20">
        <f t="shared" si="14"/>
        <v>7</v>
      </c>
      <c r="B13" s="107" t="str">
        <f>IF(A13&lt;&gt;"",'EDC - PARAMETRAGE'!$A$3,"")</f>
        <v>GROUPE DEBAYLE</v>
      </c>
      <c r="C13" s="119">
        <f>IF(A13&lt;&gt;"",'EDC - PARAMETRAGE'!$A$6,"")</f>
        <v>42562</v>
      </c>
      <c r="D13" s="123" t="s">
        <v>300</v>
      </c>
      <c r="E13" s="111" t="s">
        <v>334</v>
      </c>
      <c r="F13" s="149">
        <v>96</v>
      </c>
      <c r="G13" s="32"/>
      <c r="H13" s="36" t="str">
        <f t="shared" si="15"/>
        <v>SDC</v>
      </c>
      <c r="I13" s="32" t="s">
        <v>342</v>
      </c>
      <c r="J13" s="32"/>
      <c r="K13" s="127">
        <v>75009</v>
      </c>
      <c r="L13" s="32" t="s">
        <v>376</v>
      </c>
      <c r="M13" s="127"/>
      <c r="N13" s="127"/>
      <c r="O13" s="36" t="str">
        <f t="shared" si="1"/>
        <v>&lt;1500</v>
      </c>
      <c r="P13" s="37"/>
      <c r="Q13" s="128">
        <v>2000</v>
      </c>
      <c r="R13" s="115">
        <f t="shared" si="27"/>
        <v>0</v>
      </c>
      <c r="S13" s="170" t="str">
        <f t="shared" si="2"/>
        <v>SDCV</v>
      </c>
      <c r="T13" s="170" t="str">
        <f t="shared" si="3"/>
        <v>0</v>
      </c>
      <c r="U13" s="77">
        <f t="shared" si="16"/>
        <v>0</v>
      </c>
      <c r="V13" s="77">
        <f t="shared" si="4"/>
        <v>0</v>
      </c>
      <c r="W13" s="77">
        <f t="shared" si="5"/>
        <v>2000</v>
      </c>
      <c r="X13" s="32"/>
      <c r="Y13" s="127">
        <v>1</v>
      </c>
      <c r="Z13" s="127">
        <v>1</v>
      </c>
      <c r="AA13" s="127">
        <v>5</v>
      </c>
      <c r="AB13" s="32"/>
      <c r="AC13" s="104" t="str">
        <f t="shared" si="6"/>
        <v>NON</v>
      </c>
      <c r="AD13" s="106"/>
      <c r="AE13" s="38" t="s">
        <v>396</v>
      </c>
      <c r="AF13" s="36" t="s">
        <v>257</v>
      </c>
      <c r="AG13" s="32" t="s">
        <v>397</v>
      </c>
      <c r="AH13" s="32"/>
      <c r="AI13" s="127">
        <v>75008</v>
      </c>
      <c r="AJ13" s="32" t="s">
        <v>376</v>
      </c>
      <c r="AK13" s="150" t="s">
        <v>398</v>
      </c>
      <c r="AL13" s="157">
        <v>1</v>
      </c>
      <c r="AM13" s="157" t="s">
        <v>243</v>
      </c>
      <c r="AN13" s="162">
        <v>3873.63</v>
      </c>
      <c r="AO13" s="75" t="str">
        <f t="shared" si="28"/>
        <v/>
      </c>
      <c r="AP13" s="40"/>
      <c r="AQ13" s="103"/>
      <c r="AR13" s="40"/>
      <c r="AS13" s="40"/>
      <c r="AT13" s="117"/>
      <c r="AU13" s="40"/>
      <c r="AV13" s="40"/>
      <c r="AW13" s="103"/>
      <c r="AX13" s="103"/>
      <c r="AY13" s="162"/>
      <c r="AZ13" s="38"/>
      <c r="BA13" s="32" t="s">
        <v>486</v>
      </c>
      <c r="BB13" s="35" t="str">
        <f t="shared" si="8"/>
        <v>MRI</v>
      </c>
      <c r="BC13" s="114" t="str">
        <f t="shared" si="9"/>
        <v>NON</v>
      </c>
      <c r="BD13" s="35" t="str">
        <f t="shared" si="10"/>
        <v>NON</v>
      </c>
      <c r="BE13" s="37" t="str">
        <f t="shared" si="11"/>
        <v>NON</v>
      </c>
      <c r="BF13" s="38"/>
      <c r="BG13" s="77">
        <f>IF(ISERROR(VLOOKUP(A13,'Tableaux à actualiser'!$A$2:$C$1048576,2,FALSE)),0,VLOOKUP(A13,'Tableaux à actualiser'!$A$2:$C$1048576,2,FALSE))</f>
        <v>0</v>
      </c>
      <c r="BH13" s="78">
        <f>IF(ISERROR(VLOOKUP(A13,'Tableaux à actualiser'!$A$2:$C$1048576,3,FALSE)),0,VLOOKUP(A13,'Tableaux à actualiser'!$A$2:$C$1048576,3,FALSE))</f>
        <v>0</v>
      </c>
      <c r="BI13" s="78">
        <f t="shared" si="17"/>
        <v>3346.2670000000003</v>
      </c>
      <c r="BJ13" s="80">
        <f t="shared" si="12"/>
        <v>1.6731335000000001</v>
      </c>
      <c r="BK13" s="78">
        <f t="shared" si="18"/>
        <v>2877.78962</v>
      </c>
      <c r="BL13" s="78">
        <f t="shared" si="32"/>
        <v>2733.9001389999999</v>
      </c>
      <c r="BM13" s="78">
        <f t="shared" ref="BM13:BN13" si="34">BL13*0.95</f>
        <v>2597.2051320499995</v>
      </c>
      <c r="BN13" s="78">
        <f t="shared" si="34"/>
        <v>2467.3448754474994</v>
      </c>
      <c r="BO13" s="78">
        <f t="shared" si="24"/>
        <v>10676.2397664975</v>
      </c>
      <c r="BP13" s="84">
        <f t="shared" ref="BP13:BP49" si="35">IF(ISERROR(BH13/BO13),0,BH13/BO13)</f>
        <v>0</v>
      </c>
      <c r="BQ13" s="79">
        <f t="shared" si="20"/>
        <v>3873.63</v>
      </c>
      <c r="BR13" s="132" t="s">
        <v>49</v>
      </c>
      <c r="BS13" s="138">
        <f t="shared" si="13"/>
        <v>1.936815</v>
      </c>
      <c r="BT13" s="195">
        <f>BQ13*0.9</f>
        <v>3486.2670000000003</v>
      </c>
      <c r="BU13" s="195">
        <f t="shared" si="21"/>
        <v>140</v>
      </c>
      <c r="BV13" s="140"/>
      <c r="BW13" s="141"/>
      <c r="BX13" s="191">
        <f t="shared" si="25"/>
        <v>3486.2670000000003</v>
      </c>
      <c r="BY13" s="81">
        <f t="shared" si="33"/>
        <v>3873.63</v>
      </c>
      <c r="BZ13" s="178">
        <f t="shared" si="22"/>
        <v>-387.36299999999983</v>
      </c>
      <c r="CA13" s="180"/>
      <c r="CB13" s="181"/>
      <c r="CC13" s="181"/>
      <c r="CD13" s="181"/>
      <c r="CE13" s="181"/>
    </row>
    <row r="14" spans="1:120" x14ac:dyDescent="0.25">
      <c r="A14" s="20">
        <f t="shared" si="14"/>
        <v>8</v>
      </c>
      <c r="B14" s="107" t="str">
        <f>IF(A14&lt;&gt;"",'EDC - PARAMETRAGE'!$A$3,"")</f>
        <v>GROUPE DEBAYLE</v>
      </c>
      <c r="C14" s="119">
        <f>IF(A14&lt;&gt;"",'EDC - PARAMETRAGE'!$A$6,"")</f>
        <v>42562</v>
      </c>
      <c r="D14" s="123" t="s">
        <v>301</v>
      </c>
      <c r="E14" s="111" t="s">
        <v>334</v>
      </c>
      <c r="F14" s="149">
        <v>102</v>
      </c>
      <c r="G14" s="32"/>
      <c r="H14" s="36" t="str">
        <f t="shared" si="15"/>
        <v>SDC</v>
      </c>
      <c r="I14" s="32" t="s">
        <v>343</v>
      </c>
      <c r="J14" s="32"/>
      <c r="K14" s="127">
        <v>75009</v>
      </c>
      <c r="L14" s="32" t="s">
        <v>376</v>
      </c>
      <c r="M14" s="127"/>
      <c r="N14" s="127"/>
      <c r="O14" s="36" t="str">
        <f t="shared" si="1"/>
        <v>&lt;1500</v>
      </c>
      <c r="P14" s="37"/>
      <c r="Q14" s="128">
        <v>1120</v>
      </c>
      <c r="R14" s="115">
        <f t="shared" si="27"/>
        <v>0</v>
      </c>
      <c r="S14" s="170" t="str">
        <f t="shared" si="2"/>
        <v>SDCV</v>
      </c>
      <c r="T14" s="170" t="str">
        <f t="shared" si="3"/>
        <v>0</v>
      </c>
      <c r="U14" s="77">
        <f t="shared" si="16"/>
        <v>0</v>
      </c>
      <c r="V14" s="77">
        <f t="shared" si="4"/>
        <v>0</v>
      </c>
      <c r="W14" s="77">
        <f t="shared" si="5"/>
        <v>1120</v>
      </c>
      <c r="X14" s="32"/>
      <c r="Y14" s="127">
        <v>1</v>
      </c>
      <c r="Z14" s="127">
        <v>1</v>
      </c>
      <c r="AA14" s="127">
        <v>6</v>
      </c>
      <c r="AB14" s="32"/>
      <c r="AC14" s="104" t="str">
        <f t="shared" si="6"/>
        <v>NON</v>
      </c>
      <c r="AD14" s="106"/>
      <c r="AE14" s="38" t="s">
        <v>399</v>
      </c>
      <c r="AF14" s="36" t="s">
        <v>19</v>
      </c>
      <c r="AG14" s="32" t="s">
        <v>400</v>
      </c>
      <c r="AH14" s="32"/>
      <c r="AI14" s="127">
        <v>69288</v>
      </c>
      <c r="AJ14" s="32" t="s">
        <v>401</v>
      </c>
      <c r="AK14" s="150" t="s">
        <v>402</v>
      </c>
      <c r="AL14" s="157">
        <v>1</v>
      </c>
      <c r="AM14" s="157" t="s">
        <v>247</v>
      </c>
      <c r="AN14" s="162">
        <v>2300</v>
      </c>
      <c r="AO14" s="75">
        <f t="shared" si="28"/>
        <v>1</v>
      </c>
      <c r="AP14" s="40" t="s">
        <v>476</v>
      </c>
      <c r="AQ14" s="103" t="s">
        <v>477</v>
      </c>
      <c r="AR14" s="40" t="s">
        <v>478</v>
      </c>
      <c r="AS14" s="40"/>
      <c r="AT14" s="117">
        <v>75381</v>
      </c>
      <c r="AU14" s="40" t="s">
        <v>479</v>
      </c>
      <c r="AV14" s="40" t="s">
        <v>480</v>
      </c>
      <c r="AW14" s="103">
        <v>1</v>
      </c>
      <c r="AX14" s="103" t="s">
        <v>247</v>
      </c>
      <c r="AY14" s="162">
        <v>247</v>
      </c>
      <c r="AZ14" s="38"/>
      <c r="BA14" s="32" t="s">
        <v>502</v>
      </c>
      <c r="BB14" s="35" t="str">
        <f t="shared" si="8"/>
        <v>MRI</v>
      </c>
      <c r="BC14" s="114" t="str">
        <f t="shared" si="9"/>
        <v>NON</v>
      </c>
      <c r="BD14" s="35" t="str">
        <f t="shared" si="10"/>
        <v>NON</v>
      </c>
      <c r="BE14" s="37" t="str">
        <f t="shared" si="11"/>
        <v>NON</v>
      </c>
      <c r="BF14" s="38"/>
      <c r="BG14" s="77">
        <f>IF(ISERROR(VLOOKUP(A14,'Tableaux à actualiser'!$A$2:$C$1048576,2,FALSE)),0,VLOOKUP(A14,'Tableaux à actualiser'!$A$2:$C$1048576,2,FALSE))</f>
        <v>0</v>
      </c>
      <c r="BH14" s="78">
        <f>IF(ISERROR(VLOOKUP(A14,'Tableaux à actualiser'!$A$2:$C$1048576,3,FALSE)),0,VLOOKUP(A14,'Tableaux à actualiser'!$A$2:$C$1048576,3,FALSE))</f>
        <v>0</v>
      </c>
      <c r="BI14" s="78">
        <f t="shared" si="17"/>
        <v>2213.9</v>
      </c>
      <c r="BJ14" s="80">
        <f t="shared" si="12"/>
        <v>1.9766964285714286</v>
      </c>
      <c r="BK14" s="78">
        <f t="shared" si="18"/>
        <v>1903.954</v>
      </c>
      <c r="BL14" s="78">
        <f t="shared" ref="BL14:BN14" si="36">BK14*0.95</f>
        <v>1808.7562999999998</v>
      </c>
      <c r="BM14" s="78">
        <f t="shared" si="36"/>
        <v>1718.3184849999998</v>
      </c>
      <c r="BN14" s="78">
        <f t="shared" si="36"/>
        <v>1632.4025607499998</v>
      </c>
      <c r="BO14" s="78">
        <f t="shared" si="24"/>
        <v>7063.4313457499993</v>
      </c>
      <c r="BP14" s="84">
        <f t="shared" ref="BP14:BP21" si="37">IF(ISERROR(BH14/BO14),0,BH14/BO14)</f>
        <v>0</v>
      </c>
      <c r="BQ14" s="79">
        <f t="shared" si="20"/>
        <v>2547</v>
      </c>
      <c r="BR14" s="132"/>
      <c r="BS14" s="138">
        <f t="shared" si="13"/>
        <v>2.2741071428571429</v>
      </c>
      <c r="BT14" s="195">
        <f>BQ14*0.9</f>
        <v>2292.3000000000002</v>
      </c>
      <c r="BU14" s="195">
        <f t="shared" si="21"/>
        <v>78.400000000000006</v>
      </c>
      <c r="BV14" s="140"/>
      <c r="BW14" s="141"/>
      <c r="BX14" s="191">
        <f t="shared" si="25"/>
        <v>2292.3000000000002</v>
      </c>
      <c r="BY14" s="81">
        <f t="shared" si="33"/>
        <v>2547</v>
      </c>
      <c r="BZ14" s="178">
        <f t="shared" si="22"/>
        <v>-254.69999999999982</v>
      </c>
      <c r="CA14" s="180"/>
      <c r="CB14" s="181"/>
      <c r="CC14" s="181"/>
      <c r="CD14" s="181"/>
      <c r="CE14" s="181"/>
    </row>
    <row r="15" spans="1:120" x14ac:dyDescent="0.25">
      <c r="A15" s="20">
        <f t="shared" si="14"/>
        <v>9</v>
      </c>
      <c r="B15" s="107" t="str">
        <f>IF(A15&lt;&gt;"",'EDC - PARAMETRAGE'!$A$3,"")</f>
        <v>GROUPE DEBAYLE</v>
      </c>
      <c r="C15" s="119">
        <f>IF(A15&lt;&gt;"",'EDC - PARAMETRAGE'!$A$6,"")</f>
        <v>42562</v>
      </c>
      <c r="D15" s="123" t="s">
        <v>302</v>
      </c>
      <c r="E15" s="111" t="s">
        <v>334</v>
      </c>
      <c r="F15" s="149">
        <v>116</v>
      </c>
      <c r="G15" s="32"/>
      <c r="H15" s="36" t="str">
        <f t="shared" si="15"/>
        <v>SDC</v>
      </c>
      <c r="I15" s="32" t="s">
        <v>344</v>
      </c>
      <c r="J15" s="32"/>
      <c r="K15" s="127">
        <v>75018</v>
      </c>
      <c r="L15" s="32" t="s">
        <v>376</v>
      </c>
      <c r="M15" s="127"/>
      <c r="N15" s="127"/>
      <c r="O15" s="36" t="str">
        <f t="shared" si="1"/>
        <v>&lt;1500</v>
      </c>
      <c r="P15" s="37"/>
      <c r="Q15" s="128">
        <v>1977</v>
      </c>
      <c r="R15" s="115">
        <f t="shared" si="27"/>
        <v>0</v>
      </c>
      <c r="S15" s="170" t="str">
        <f t="shared" si="2"/>
        <v>SDCV</v>
      </c>
      <c r="T15" s="170" t="str">
        <f t="shared" si="3"/>
        <v>0</v>
      </c>
      <c r="U15" s="77">
        <f t="shared" si="16"/>
        <v>0</v>
      </c>
      <c r="V15" s="77">
        <f t="shared" si="4"/>
        <v>0</v>
      </c>
      <c r="W15" s="77">
        <f t="shared" si="5"/>
        <v>1977</v>
      </c>
      <c r="X15" s="32"/>
      <c r="Y15" s="127">
        <v>1</v>
      </c>
      <c r="Z15" s="127">
        <v>1</v>
      </c>
      <c r="AA15" s="127">
        <v>7</v>
      </c>
      <c r="AB15" s="32"/>
      <c r="AC15" s="104" t="str">
        <f t="shared" si="6"/>
        <v>NON</v>
      </c>
      <c r="AD15" s="106"/>
      <c r="AE15" s="38" t="s">
        <v>403</v>
      </c>
      <c r="AF15" s="36" t="s">
        <v>257</v>
      </c>
      <c r="AG15" s="32" t="s">
        <v>404</v>
      </c>
      <c r="AH15" s="32"/>
      <c r="AI15" s="127">
        <v>75017</v>
      </c>
      <c r="AJ15" s="32" t="s">
        <v>376</v>
      </c>
      <c r="AK15" s="150" t="s">
        <v>405</v>
      </c>
      <c r="AL15" s="157">
        <v>1</v>
      </c>
      <c r="AM15" s="157" t="s">
        <v>243</v>
      </c>
      <c r="AN15" s="162">
        <v>3338.22</v>
      </c>
      <c r="AO15" s="75" t="str">
        <f t="shared" si="28"/>
        <v/>
      </c>
      <c r="AP15" s="40"/>
      <c r="AQ15" s="103"/>
      <c r="AR15" s="40"/>
      <c r="AS15" s="40"/>
      <c r="AT15" s="117"/>
      <c r="AU15" s="40"/>
      <c r="AV15" s="40"/>
      <c r="AW15" s="103"/>
      <c r="AX15" s="103"/>
      <c r="AY15" s="162"/>
      <c r="AZ15" s="38"/>
      <c r="BA15" s="32"/>
      <c r="BB15" s="35" t="str">
        <f t="shared" si="8"/>
        <v>MRI</v>
      </c>
      <c r="BC15" s="114" t="str">
        <f t="shared" si="9"/>
        <v>NON</v>
      </c>
      <c r="BD15" s="35" t="str">
        <f t="shared" si="10"/>
        <v>NON</v>
      </c>
      <c r="BE15" s="37" t="str">
        <f t="shared" si="11"/>
        <v>NON</v>
      </c>
      <c r="BF15" s="38"/>
      <c r="BG15" s="77">
        <f>IF(ISERROR(VLOOKUP(A15,'Tableaux à actualiser'!$A$2:$C$1048576,2,FALSE)),0,VLOOKUP(A15,'Tableaux à actualiser'!$A$2:$C$1048576,2,FALSE))</f>
        <v>5</v>
      </c>
      <c r="BH15" s="78">
        <f>IF(ISERROR(VLOOKUP(A15,'Tableaux à actualiser'!$A$2:$C$1048576,3,FALSE)),0,VLOOKUP(A15,'Tableaux à actualiser'!$A$2:$C$1048576,3,FALSE))</f>
        <v>6301</v>
      </c>
      <c r="BI15" s="78">
        <f t="shared" si="17"/>
        <v>2966.1546000000003</v>
      </c>
      <c r="BJ15" s="80">
        <f t="shared" si="12"/>
        <v>1.5003311077389987</v>
      </c>
      <c r="BK15" s="78">
        <f t="shared" si="18"/>
        <v>2550.8929560000001</v>
      </c>
      <c r="BL15" s="78">
        <f t="shared" ref="BL15:BN15" si="38">BK15*0.95</f>
        <v>2423.3483082000002</v>
      </c>
      <c r="BM15" s="78">
        <f t="shared" si="38"/>
        <v>2302.1808927900001</v>
      </c>
      <c r="BN15" s="78">
        <f t="shared" si="38"/>
        <v>2187.0718481505</v>
      </c>
      <c r="BO15" s="78">
        <f t="shared" si="24"/>
        <v>9463.4940051404992</v>
      </c>
      <c r="BP15" s="84">
        <f t="shared" si="37"/>
        <v>0.66582173524676447</v>
      </c>
      <c r="BQ15" s="79">
        <f t="shared" si="20"/>
        <v>3338.22</v>
      </c>
      <c r="BR15" s="132" t="s">
        <v>49</v>
      </c>
      <c r="BS15" s="138">
        <f t="shared" si="13"/>
        <v>1.6885280728376326</v>
      </c>
      <c r="BT15" s="195">
        <f>BQ15*0.93</f>
        <v>3104.5446000000002</v>
      </c>
      <c r="BU15" s="195">
        <f t="shared" si="21"/>
        <v>138.39000000000001</v>
      </c>
      <c r="BV15" s="140"/>
      <c r="BW15" s="141"/>
      <c r="BX15" s="191">
        <f t="shared" si="25"/>
        <v>3104.5446000000002</v>
      </c>
      <c r="BY15" s="81">
        <f t="shared" si="33"/>
        <v>3338.22</v>
      </c>
      <c r="BZ15" s="178">
        <f t="shared" si="22"/>
        <v>-233.67539999999963</v>
      </c>
      <c r="CA15" s="180"/>
      <c r="CB15" s="181"/>
      <c r="CC15" s="181"/>
      <c r="CD15" s="181"/>
      <c r="CE15" s="181"/>
    </row>
    <row r="16" spans="1:120" x14ac:dyDescent="0.25">
      <c r="A16" s="20">
        <f t="shared" si="14"/>
        <v>10</v>
      </c>
      <c r="B16" s="107" t="str">
        <f>IF(A16&lt;&gt;"",'EDC - PARAMETRAGE'!$A$3,"")</f>
        <v>GROUPE DEBAYLE</v>
      </c>
      <c r="C16" s="119">
        <f>IF(A16&lt;&gt;"",'EDC - PARAMETRAGE'!$A$6,"")</f>
        <v>42562</v>
      </c>
      <c r="D16" s="123" t="s">
        <v>303</v>
      </c>
      <c r="E16" s="111" t="s">
        <v>334</v>
      </c>
      <c r="F16" s="149">
        <v>118</v>
      </c>
      <c r="G16" s="32"/>
      <c r="H16" s="36" t="str">
        <f t="shared" si="15"/>
        <v>SDC</v>
      </c>
      <c r="I16" s="32" t="s">
        <v>345</v>
      </c>
      <c r="J16" s="32"/>
      <c r="K16" s="127">
        <v>75018</v>
      </c>
      <c r="L16" s="32" t="s">
        <v>376</v>
      </c>
      <c r="M16" s="127"/>
      <c r="N16" s="127"/>
      <c r="O16" s="36" t="str">
        <f t="shared" si="1"/>
        <v>&lt;1500</v>
      </c>
      <c r="P16" s="37"/>
      <c r="Q16" s="128">
        <v>1000</v>
      </c>
      <c r="R16" s="115">
        <f t="shared" si="27"/>
        <v>0</v>
      </c>
      <c r="S16" s="170" t="str">
        <f t="shared" si="2"/>
        <v>SDCV</v>
      </c>
      <c r="T16" s="170" t="str">
        <f t="shared" si="3"/>
        <v>0</v>
      </c>
      <c r="U16" s="77">
        <f t="shared" si="16"/>
        <v>0</v>
      </c>
      <c r="V16" s="77">
        <f t="shared" si="4"/>
        <v>0</v>
      </c>
      <c r="W16" s="77">
        <f t="shared" si="5"/>
        <v>1000</v>
      </c>
      <c r="X16" s="32"/>
      <c r="Y16" s="127">
        <v>1</v>
      </c>
      <c r="Z16" s="127">
        <v>1</v>
      </c>
      <c r="AA16" s="127">
        <v>7</v>
      </c>
      <c r="AB16" s="32"/>
      <c r="AC16" s="104" t="str">
        <f t="shared" si="6"/>
        <v>NON</v>
      </c>
      <c r="AD16" s="106"/>
      <c r="AE16" s="38" t="s">
        <v>406</v>
      </c>
      <c r="AF16" s="36" t="s">
        <v>407</v>
      </c>
      <c r="AG16" s="32" t="s">
        <v>408</v>
      </c>
      <c r="AH16" s="32"/>
      <c r="AI16" s="127">
        <v>77798</v>
      </c>
      <c r="AJ16" s="32" t="s">
        <v>409</v>
      </c>
      <c r="AK16" s="150">
        <v>13309265</v>
      </c>
      <c r="AL16" s="157">
        <v>1</v>
      </c>
      <c r="AM16" s="157" t="s">
        <v>246</v>
      </c>
      <c r="AN16" s="162">
        <v>1278.43</v>
      </c>
      <c r="AO16" s="75" t="str">
        <f t="shared" si="28"/>
        <v/>
      </c>
      <c r="AP16" s="40"/>
      <c r="AQ16" s="103"/>
      <c r="AR16" s="40"/>
      <c r="AS16" s="40"/>
      <c r="AT16" s="117"/>
      <c r="AU16" s="40"/>
      <c r="AV16" s="40"/>
      <c r="AW16" s="103"/>
      <c r="AX16" s="103"/>
      <c r="AY16" s="162"/>
      <c r="AZ16" s="38"/>
      <c r="BA16" s="32" t="s">
        <v>487</v>
      </c>
      <c r="BB16" s="35" t="str">
        <f t="shared" si="8"/>
        <v>MRI</v>
      </c>
      <c r="BC16" s="114" t="str">
        <f t="shared" si="9"/>
        <v>NON</v>
      </c>
      <c r="BD16" s="35" t="str">
        <f t="shared" si="10"/>
        <v>NON</v>
      </c>
      <c r="BE16" s="37" t="str">
        <f t="shared" si="11"/>
        <v>NON</v>
      </c>
      <c r="BF16" s="38"/>
      <c r="BG16" s="77">
        <f>IF(ISERROR(VLOOKUP(A16,'Tableaux à actualiser'!$A$2:$C$1048576,2,FALSE)),0,VLOOKUP(A16,'Tableaux à actualiser'!$A$2:$C$1048576,2,FALSE))</f>
        <v>0</v>
      </c>
      <c r="BH16" s="78">
        <f>IF(ISERROR(VLOOKUP(A16,'Tableaux à actualiser'!$A$2:$C$1048576,3,FALSE)),0,VLOOKUP(A16,'Tableaux à actualiser'!$A$2:$C$1048576,3,FALSE))</f>
        <v>0</v>
      </c>
      <c r="BI16" s="78">
        <f t="shared" si="17"/>
        <v>1144.5084999999999</v>
      </c>
      <c r="BJ16" s="80">
        <f t="shared" si="12"/>
        <v>1.1445084999999999</v>
      </c>
      <c r="BK16" s="78">
        <f t="shared" si="18"/>
        <v>984.27730999999994</v>
      </c>
      <c r="BL16" s="78">
        <f t="shared" ref="BL16:BN16" si="39">BK16*0.95</f>
        <v>935.06344449999995</v>
      </c>
      <c r="BM16" s="78">
        <f t="shared" si="39"/>
        <v>888.31027227499987</v>
      </c>
      <c r="BN16" s="78">
        <f t="shared" si="39"/>
        <v>843.89475866124985</v>
      </c>
      <c r="BO16" s="78">
        <f t="shared" si="24"/>
        <v>3651.5457854362498</v>
      </c>
      <c r="BP16" s="84">
        <f t="shared" si="37"/>
        <v>0</v>
      </c>
      <c r="BQ16" s="79">
        <f t="shared" si="20"/>
        <v>1278.43</v>
      </c>
      <c r="BR16" s="132"/>
      <c r="BS16" s="138">
        <f t="shared" si="13"/>
        <v>1.27843</v>
      </c>
      <c r="BT16" s="195">
        <f t="shared" si="31"/>
        <v>1214.5084999999999</v>
      </c>
      <c r="BU16" s="195">
        <f t="shared" si="21"/>
        <v>70</v>
      </c>
      <c r="BV16" s="140"/>
      <c r="BW16" s="141"/>
      <c r="BX16" s="191">
        <f t="shared" si="25"/>
        <v>1214.5084999999999</v>
      </c>
      <c r="BY16" s="81">
        <f t="shared" si="33"/>
        <v>1278.43</v>
      </c>
      <c r="BZ16" s="178">
        <f t="shared" si="22"/>
        <v>-63.921500000000151</v>
      </c>
      <c r="CA16" s="180"/>
      <c r="CB16" s="181"/>
      <c r="CC16" s="181"/>
      <c r="CD16" s="181"/>
      <c r="CE16" s="181"/>
    </row>
    <row r="17" spans="1:83" ht="45" x14ac:dyDescent="0.25">
      <c r="A17" s="20">
        <f t="shared" si="14"/>
        <v>11</v>
      </c>
      <c r="B17" s="107" t="str">
        <f>IF(A17&lt;&gt;"",'EDC - PARAMETRAGE'!$A$3,"")</f>
        <v>GROUPE DEBAYLE</v>
      </c>
      <c r="C17" s="119">
        <f>IF(A17&lt;&gt;"",'EDC - PARAMETRAGE'!$A$6,"")</f>
        <v>42562</v>
      </c>
      <c r="D17" s="148" t="s">
        <v>304</v>
      </c>
      <c r="E17" s="111" t="s">
        <v>334</v>
      </c>
      <c r="F17" s="150">
        <v>121</v>
      </c>
      <c r="G17" s="32"/>
      <c r="H17" s="36" t="str">
        <f t="shared" si="15"/>
        <v>SDC</v>
      </c>
      <c r="I17" s="151" t="s">
        <v>346</v>
      </c>
      <c r="J17" s="32"/>
      <c r="K17" s="154">
        <v>75008</v>
      </c>
      <c r="L17" s="151" t="s">
        <v>376</v>
      </c>
      <c r="M17" s="127"/>
      <c r="N17" s="127"/>
      <c r="O17" s="36" t="str">
        <f t="shared" si="1"/>
        <v>&lt;1500</v>
      </c>
      <c r="P17" s="37"/>
      <c r="Q17" s="155">
        <v>5994</v>
      </c>
      <c r="R17" s="115">
        <f t="shared" si="27"/>
        <v>0</v>
      </c>
      <c r="S17" s="171" t="s">
        <v>39</v>
      </c>
      <c r="T17" s="171">
        <v>0.24</v>
      </c>
      <c r="U17" s="77">
        <f t="shared" si="16"/>
        <v>1438.56</v>
      </c>
      <c r="V17" s="77">
        <f t="shared" si="4"/>
        <v>0</v>
      </c>
      <c r="W17" s="77">
        <f t="shared" si="5"/>
        <v>4555.4400000000005</v>
      </c>
      <c r="X17" s="156" t="s">
        <v>380</v>
      </c>
      <c r="Y17" s="127">
        <v>1</v>
      </c>
      <c r="Z17" s="127">
        <v>1</v>
      </c>
      <c r="AA17" s="154">
        <v>7</v>
      </c>
      <c r="AB17" s="151"/>
      <c r="AC17" s="104" t="str">
        <f t="shared" si="6"/>
        <v>NON</v>
      </c>
      <c r="AD17" s="106"/>
      <c r="AE17" s="159" t="s">
        <v>410</v>
      </c>
      <c r="AF17" s="160" t="s">
        <v>260</v>
      </c>
      <c r="AG17" s="151" t="s">
        <v>411</v>
      </c>
      <c r="AH17" s="151"/>
      <c r="AI17" s="154">
        <v>78000</v>
      </c>
      <c r="AJ17" s="151" t="s">
        <v>412</v>
      </c>
      <c r="AK17" s="150">
        <v>5213334404</v>
      </c>
      <c r="AL17" s="161">
        <v>1</v>
      </c>
      <c r="AM17" s="161" t="s">
        <v>243</v>
      </c>
      <c r="AN17" s="163">
        <v>14244.24</v>
      </c>
      <c r="AO17" s="75" t="str">
        <f t="shared" si="28"/>
        <v/>
      </c>
      <c r="AP17" s="164"/>
      <c r="AQ17" s="165"/>
      <c r="AR17" s="164"/>
      <c r="AS17" s="164"/>
      <c r="AT17" s="166"/>
      <c r="AU17" s="164"/>
      <c r="AV17" s="164"/>
      <c r="AW17" s="165"/>
      <c r="AX17" s="165"/>
      <c r="AY17" s="163"/>
      <c r="AZ17" s="159"/>
      <c r="BA17" s="151"/>
      <c r="BB17" s="35" t="str">
        <f t="shared" si="8"/>
        <v>MRI</v>
      </c>
      <c r="BC17" s="114" t="str">
        <f t="shared" si="9"/>
        <v>NON</v>
      </c>
      <c r="BD17" s="35" t="str">
        <f t="shared" si="10"/>
        <v>NON</v>
      </c>
      <c r="BE17" s="37" t="str">
        <f t="shared" si="11"/>
        <v>NON</v>
      </c>
      <c r="BF17" s="38"/>
      <c r="BG17" s="77">
        <f>IF(ISERROR(VLOOKUP(A17,'Tableaux à actualiser'!$A$2:$C$1048576,2,FALSE)),0,VLOOKUP(A17,'Tableaux à actualiser'!$A$2:$C$1048576,2,FALSE))</f>
        <v>10</v>
      </c>
      <c r="BH17" s="78">
        <f>IF(ISERROR(VLOOKUP(A17,'Tableaux à actualiser'!$A$2:$C$1048576,3,FALSE)),0,VLOOKUP(A17,'Tableaux à actualiser'!$A$2:$C$1048576,3,FALSE))</f>
        <v>16932</v>
      </c>
      <c r="BI17" s="78">
        <f t="shared" si="17"/>
        <v>12400.236000000001</v>
      </c>
      <c r="BJ17" s="80">
        <f t="shared" si="12"/>
        <v>2.0687747747747749</v>
      </c>
      <c r="BK17" s="78">
        <f t="shared" ref="BK17:BK49" si="40">BI17*0.86</f>
        <v>10664.202960000001</v>
      </c>
      <c r="BL17" s="78">
        <f t="shared" ref="BL17:BN17" si="41">BK17*0.95</f>
        <v>10130.992812</v>
      </c>
      <c r="BM17" s="78">
        <f t="shared" si="41"/>
        <v>9624.4431714000002</v>
      </c>
      <c r="BN17" s="78">
        <f t="shared" si="41"/>
        <v>9143.2210128299994</v>
      </c>
      <c r="BO17" s="78">
        <f t="shared" si="24"/>
        <v>39562.859956230001</v>
      </c>
      <c r="BP17" s="84">
        <f t="shared" si="37"/>
        <v>0.42797714873830051</v>
      </c>
      <c r="BQ17" s="79">
        <f t="shared" si="20"/>
        <v>14244.24</v>
      </c>
      <c r="BR17" s="132" t="s">
        <v>49</v>
      </c>
      <c r="BS17" s="138">
        <f t="shared" si="13"/>
        <v>2.3764164164164163</v>
      </c>
      <c r="BT17" s="195">
        <f>BQ17*0.9</f>
        <v>12819.816000000001</v>
      </c>
      <c r="BU17" s="195">
        <f t="shared" si="21"/>
        <v>419.58000000000004</v>
      </c>
      <c r="BV17" s="140"/>
      <c r="BW17" s="141"/>
      <c r="BX17" s="191">
        <f t="shared" si="25"/>
        <v>12819.816000000001</v>
      </c>
      <c r="BY17" s="81">
        <f t="shared" si="33"/>
        <v>14244.24</v>
      </c>
      <c r="BZ17" s="178">
        <f t="shared" si="22"/>
        <v>-1424.4239999999991</v>
      </c>
      <c r="CA17" s="180"/>
      <c r="CB17" s="181"/>
      <c r="CC17" s="181"/>
      <c r="CD17" s="181"/>
      <c r="CE17" s="181"/>
    </row>
    <row r="18" spans="1:83" x14ac:dyDescent="0.25">
      <c r="A18" s="20">
        <f t="shared" si="14"/>
        <v>12</v>
      </c>
      <c r="B18" s="107" t="str">
        <f>IF(A18&lt;&gt;"",'EDC - PARAMETRAGE'!$A$3,"")</f>
        <v>GROUPE DEBAYLE</v>
      </c>
      <c r="C18" s="119">
        <f>IF(A18&lt;&gt;"",'EDC - PARAMETRAGE'!$A$6,"")</f>
        <v>42562</v>
      </c>
      <c r="D18" s="123" t="s">
        <v>305</v>
      </c>
      <c r="E18" s="111" t="s">
        <v>334</v>
      </c>
      <c r="F18" s="149">
        <v>123</v>
      </c>
      <c r="G18" s="32"/>
      <c r="H18" s="36" t="str">
        <f t="shared" si="15"/>
        <v>SDC</v>
      </c>
      <c r="I18" s="32" t="s">
        <v>347</v>
      </c>
      <c r="J18" s="32"/>
      <c r="K18" s="127">
        <v>75007</v>
      </c>
      <c r="L18" s="32" t="s">
        <v>376</v>
      </c>
      <c r="M18" s="127"/>
      <c r="N18" s="127"/>
      <c r="O18" s="36" t="str">
        <f t="shared" si="1"/>
        <v>&lt;1500</v>
      </c>
      <c r="P18" s="37"/>
      <c r="Q18" s="128">
        <v>975</v>
      </c>
      <c r="R18" s="115">
        <f t="shared" si="27"/>
        <v>0</v>
      </c>
      <c r="S18" s="170" t="str">
        <f t="shared" si="2"/>
        <v>SDCV</v>
      </c>
      <c r="T18" s="170" t="str">
        <f t="shared" si="3"/>
        <v>0</v>
      </c>
      <c r="U18" s="77">
        <f t="shared" si="16"/>
        <v>0</v>
      </c>
      <c r="V18" s="77">
        <f t="shared" si="4"/>
        <v>0</v>
      </c>
      <c r="W18" s="77">
        <f t="shared" si="5"/>
        <v>975</v>
      </c>
      <c r="X18" s="32"/>
      <c r="Y18" s="127">
        <v>1</v>
      </c>
      <c r="Z18" s="127">
        <v>1</v>
      </c>
      <c r="AA18" s="127">
        <v>6</v>
      </c>
      <c r="AB18" s="32"/>
      <c r="AC18" s="104" t="str">
        <f t="shared" si="6"/>
        <v>NON</v>
      </c>
      <c r="AD18" s="106"/>
      <c r="AE18" s="38" t="s">
        <v>413</v>
      </c>
      <c r="AF18" s="36" t="s">
        <v>64</v>
      </c>
      <c r="AG18" s="32" t="s">
        <v>414</v>
      </c>
      <c r="AH18" s="32"/>
      <c r="AI18" s="127">
        <v>92200</v>
      </c>
      <c r="AJ18" s="32" t="s">
        <v>415</v>
      </c>
      <c r="AK18" s="158" t="s">
        <v>416</v>
      </c>
      <c r="AL18" s="157">
        <v>25</v>
      </c>
      <c r="AM18" s="157" t="s">
        <v>248</v>
      </c>
      <c r="AN18" s="162">
        <v>2820.85</v>
      </c>
      <c r="AO18" s="75">
        <f t="shared" si="28"/>
        <v>1</v>
      </c>
      <c r="AP18" s="40" t="s">
        <v>417</v>
      </c>
      <c r="AQ18" s="103" t="s">
        <v>262</v>
      </c>
      <c r="AR18" s="40" t="s">
        <v>418</v>
      </c>
      <c r="AS18" s="40" t="s">
        <v>419</v>
      </c>
      <c r="AT18" s="117">
        <v>92415</v>
      </c>
      <c r="AU18" s="40" t="s">
        <v>420</v>
      </c>
      <c r="AV18" s="40" t="s">
        <v>481</v>
      </c>
      <c r="AW18" s="103">
        <v>15</v>
      </c>
      <c r="AX18" s="103" t="s">
        <v>249</v>
      </c>
      <c r="AY18" s="162">
        <v>135</v>
      </c>
      <c r="AZ18" s="38"/>
      <c r="BA18" s="32"/>
      <c r="BB18" s="35" t="str">
        <f t="shared" si="8"/>
        <v>MRI</v>
      </c>
      <c r="BC18" s="114" t="str">
        <f t="shared" si="9"/>
        <v>NON</v>
      </c>
      <c r="BD18" s="35" t="str">
        <f t="shared" si="10"/>
        <v>NON</v>
      </c>
      <c r="BE18" s="37" t="str">
        <f t="shared" si="11"/>
        <v>NON</v>
      </c>
      <c r="BF18" s="38"/>
      <c r="BG18" s="77">
        <f>IF(ISERROR(VLOOKUP(A18,'Tableaux à actualiser'!$A$2:$C$1048576,2,FALSE)),0,VLOOKUP(A18,'Tableaux à actualiser'!$A$2:$C$1048576,2,FALSE))</f>
        <v>2</v>
      </c>
      <c r="BH18" s="78">
        <f>IF(ISERROR(VLOOKUP(A18,'Tableaux à actualiser'!$A$2:$C$1048576,3,FALSE)),0,VLOOKUP(A18,'Tableaux à actualiser'!$A$2:$C$1048576,3,FALSE))</f>
        <v>3399</v>
      </c>
      <c r="BI18" s="78">
        <f t="shared" si="17"/>
        <v>2710.2489999999998</v>
      </c>
      <c r="BJ18" s="80">
        <f t="shared" si="12"/>
        <v>2.7797425641025639</v>
      </c>
      <c r="BK18" s="78">
        <f t="shared" si="40"/>
        <v>2330.81414</v>
      </c>
      <c r="BL18" s="78">
        <f t="shared" ref="BL18:BN18" si="42">BK18*0.95</f>
        <v>2214.2734329999998</v>
      </c>
      <c r="BM18" s="78">
        <f t="shared" si="42"/>
        <v>2103.5597613499999</v>
      </c>
      <c r="BN18" s="78">
        <f t="shared" si="42"/>
        <v>1998.3817732824998</v>
      </c>
      <c r="BO18" s="78">
        <f t="shared" si="24"/>
        <v>8647.0291076324993</v>
      </c>
      <c r="BP18" s="84">
        <f t="shared" si="37"/>
        <v>0.39308298349542903</v>
      </c>
      <c r="BQ18" s="79">
        <f t="shared" si="20"/>
        <v>2955.85</v>
      </c>
      <c r="BR18" s="132" t="s">
        <v>49</v>
      </c>
      <c r="BS18" s="138">
        <f t="shared" si="13"/>
        <v>3.0316410256410253</v>
      </c>
      <c r="BT18" s="195">
        <f>BQ18*0.94</f>
        <v>2778.4989999999998</v>
      </c>
      <c r="BU18" s="195">
        <f t="shared" si="21"/>
        <v>68.25</v>
      </c>
      <c r="BV18" s="140"/>
      <c r="BW18" s="141"/>
      <c r="BX18" s="191">
        <f t="shared" si="25"/>
        <v>2778.4989999999998</v>
      </c>
      <c r="BY18" s="81">
        <f t="shared" si="33"/>
        <v>2955.85</v>
      </c>
      <c r="BZ18" s="178">
        <f t="shared" si="22"/>
        <v>-177.35100000000011</v>
      </c>
      <c r="CA18" s="180"/>
      <c r="CB18" s="181"/>
      <c r="CC18" s="181"/>
      <c r="CD18" s="181"/>
      <c r="CE18" s="181"/>
    </row>
    <row r="19" spans="1:83" x14ac:dyDescent="0.25">
      <c r="A19" s="20">
        <f t="shared" si="14"/>
        <v>13</v>
      </c>
      <c r="B19" s="107" t="str">
        <f>IF(A19&lt;&gt;"",'EDC - PARAMETRAGE'!$A$3,"")</f>
        <v>GROUPE DEBAYLE</v>
      </c>
      <c r="C19" s="119">
        <f>IF(A19&lt;&gt;"",'EDC - PARAMETRAGE'!$A$6,"")</f>
        <v>42562</v>
      </c>
      <c r="D19" s="123" t="s">
        <v>306</v>
      </c>
      <c r="E19" s="111" t="s">
        <v>334</v>
      </c>
      <c r="F19" s="149">
        <v>124</v>
      </c>
      <c r="G19" s="32"/>
      <c r="H19" s="36" t="str">
        <f t="shared" si="15"/>
        <v>SDC</v>
      </c>
      <c r="I19" s="32" t="s">
        <v>348</v>
      </c>
      <c r="J19" s="32"/>
      <c r="K19" s="127">
        <v>75018</v>
      </c>
      <c r="L19" s="32" t="s">
        <v>376</v>
      </c>
      <c r="M19" s="127"/>
      <c r="N19" s="127"/>
      <c r="O19" s="36" t="str">
        <f t="shared" si="1"/>
        <v>&lt;1500</v>
      </c>
      <c r="P19" s="37"/>
      <c r="Q19" s="128">
        <v>2135</v>
      </c>
      <c r="R19" s="115">
        <f t="shared" si="27"/>
        <v>0</v>
      </c>
      <c r="S19" s="170" t="str">
        <f t="shared" si="2"/>
        <v>SDCV</v>
      </c>
      <c r="T19" s="170" t="str">
        <f t="shared" si="3"/>
        <v>0</v>
      </c>
      <c r="U19" s="77">
        <f t="shared" si="16"/>
        <v>0</v>
      </c>
      <c r="V19" s="77">
        <f t="shared" si="4"/>
        <v>0</v>
      </c>
      <c r="W19" s="77">
        <f t="shared" si="5"/>
        <v>2135</v>
      </c>
      <c r="X19" s="32"/>
      <c r="Y19" s="127">
        <v>1</v>
      </c>
      <c r="Z19" s="127">
        <v>1</v>
      </c>
      <c r="AA19" s="127">
        <v>8</v>
      </c>
      <c r="AB19" s="32"/>
      <c r="AC19" s="104" t="str">
        <f t="shared" si="6"/>
        <v>NON</v>
      </c>
      <c r="AD19" s="106"/>
      <c r="AE19" s="38" t="s">
        <v>417</v>
      </c>
      <c r="AF19" s="36" t="s">
        <v>257</v>
      </c>
      <c r="AG19" s="40" t="s">
        <v>418</v>
      </c>
      <c r="AH19" s="40" t="s">
        <v>419</v>
      </c>
      <c r="AI19" s="117">
        <v>92415</v>
      </c>
      <c r="AJ19" s="40" t="s">
        <v>420</v>
      </c>
      <c r="AK19" s="150" t="s">
        <v>421</v>
      </c>
      <c r="AL19" s="157">
        <v>1</v>
      </c>
      <c r="AM19" s="157" t="s">
        <v>253</v>
      </c>
      <c r="AN19" s="162">
        <v>6251.55</v>
      </c>
      <c r="AO19" s="75" t="str">
        <f t="shared" si="28"/>
        <v/>
      </c>
      <c r="AP19" s="40"/>
      <c r="AQ19" s="103"/>
      <c r="AR19" s="40"/>
      <c r="AS19" s="40"/>
      <c r="AT19" s="117"/>
      <c r="AU19" s="40"/>
      <c r="AV19" s="40"/>
      <c r="AW19" s="103"/>
      <c r="AX19" s="103"/>
      <c r="AY19" s="162"/>
      <c r="AZ19" s="38"/>
      <c r="BA19" s="32"/>
      <c r="BB19" s="35" t="str">
        <f t="shared" si="8"/>
        <v>MRI</v>
      </c>
      <c r="BC19" s="114" t="str">
        <f t="shared" si="9"/>
        <v>NON</v>
      </c>
      <c r="BD19" s="35" t="str">
        <f t="shared" si="10"/>
        <v>NON</v>
      </c>
      <c r="BE19" s="37" t="str">
        <f t="shared" si="11"/>
        <v>NON</v>
      </c>
      <c r="BF19" s="38"/>
      <c r="BG19" s="77">
        <f>IF(ISERROR(VLOOKUP(A19,'Tableaux à actualiser'!$A$2:$C$1048576,2,FALSE)),0,VLOOKUP(A19,'Tableaux à actualiser'!$A$2:$C$1048576,2,FALSE))</f>
        <v>3</v>
      </c>
      <c r="BH19" s="78">
        <f>IF(ISERROR(VLOOKUP(A19,'Tableaux à actualiser'!$A$2:$C$1048576,3,FALSE)),0,VLOOKUP(A19,'Tableaux à actualiser'!$A$2:$C$1048576,3,FALSE))</f>
        <v>6326</v>
      </c>
      <c r="BI19" s="78">
        <f t="shared" si="17"/>
        <v>5789.5225</v>
      </c>
      <c r="BJ19" s="80">
        <f t="shared" si="12"/>
        <v>2.7117201405152227</v>
      </c>
      <c r="BK19" s="78">
        <f t="shared" si="40"/>
        <v>4978.9893499999998</v>
      </c>
      <c r="BL19" s="78">
        <f t="shared" ref="BL19:BN19" si="43">BK19*0.95</f>
        <v>4730.0398824999993</v>
      </c>
      <c r="BM19" s="78">
        <f t="shared" si="43"/>
        <v>4493.5378883749991</v>
      </c>
      <c r="BN19" s="78">
        <f t="shared" si="43"/>
        <v>4268.8609939562493</v>
      </c>
      <c r="BO19" s="78">
        <f t="shared" si="24"/>
        <v>18471.428114831248</v>
      </c>
      <c r="BP19" s="84">
        <f t="shared" si="37"/>
        <v>0.34247487312151409</v>
      </c>
      <c r="BQ19" s="79">
        <f t="shared" si="20"/>
        <v>6251.55</v>
      </c>
      <c r="BR19" s="132" t="s">
        <v>49</v>
      </c>
      <c r="BS19" s="138">
        <f t="shared" si="13"/>
        <v>2.9281264637002344</v>
      </c>
      <c r="BT19" s="195">
        <f t="shared" si="31"/>
        <v>5938.9724999999999</v>
      </c>
      <c r="BU19" s="195">
        <f t="shared" si="21"/>
        <v>149.45000000000002</v>
      </c>
      <c r="BV19" s="140"/>
      <c r="BW19" s="141"/>
      <c r="BX19" s="191">
        <f t="shared" si="25"/>
        <v>5938.9724999999999</v>
      </c>
      <c r="BY19" s="81">
        <f t="shared" si="33"/>
        <v>6251.55</v>
      </c>
      <c r="BZ19" s="178">
        <f t="shared" si="22"/>
        <v>-312.57750000000033</v>
      </c>
      <c r="CA19" s="180"/>
      <c r="CB19" s="181"/>
      <c r="CC19" s="181"/>
      <c r="CD19" s="181"/>
      <c r="CE19" s="181"/>
    </row>
    <row r="20" spans="1:83" x14ac:dyDescent="0.25">
      <c r="A20" s="20">
        <f t="shared" si="14"/>
        <v>14</v>
      </c>
      <c r="B20" s="107" t="str">
        <f>IF(A20&lt;&gt;"",'EDC - PARAMETRAGE'!$A$3,"")</f>
        <v>GROUPE DEBAYLE</v>
      </c>
      <c r="C20" s="119">
        <f>IF(A20&lt;&gt;"",'EDC - PARAMETRAGE'!$A$6,"")</f>
        <v>42562</v>
      </c>
      <c r="D20" s="123" t="s">
        <v>307</v>
      </c>
      <c r="E20" s="111" t="s">
        <v>334</v>
      </c>
      <c r="F20" s="149">
        <v>131</v>
      </c>
      <c r="G20" s="32"/>
      <c r="H20" s="36" t="str">
        <f t="shared" si="15"/>
        <v>SDC</v>
      </c>
      <c r="I20" s="32" t="s">
        <v>349</v>
      </c>
      <c r="J20" s="32"/>
      <c r="K20" s="127">
        <v>75002</v>
      </c>
      <c r="L20" s="32" t="s">
        <v>376</v>
      </c>
      <c r="M20" s="127"/>
      <c r="N20" s="127"/>
      <c r="O20" s="36" t="str">
        <f t="shared" si="1"/>
        <v>&lt;1500</v>
      </c>
      <c r="P20" s="37"/>
      <c r="Q20" s="128">
        <v>1000</v>
      </c>
      <c r="R20" s="115">
        <f t="shared" si="27"/>
        <v>0</v>
      </c>
      <c r="S20" s="170" t="s">
        <v>39</v>
      </c>
      <c r="T20" s="170">
        <v>0.24</v>
      </c>
      <c r="U20" s="77">
        <f t="shared" si="16"/>
        <v>240</v>
      </c>
      <c r="V20" s="77">
        <f t="shared" si="4"/>
        <v>0</v>
      </c>
      <c r="W20" s="77">
        <f t="shared" si="5"/>
        <v>760</v>
      </c>
      <c r="X20" s="32" t="s">
        <v>381</v>
      </c>
      <c r="Y20" s="127">
        <v>1</v>
      </c>
      <c r="Z20" s="127">
        <v>1</v>
      </c>
      <c r="AA20" s="127">
        <v>5</v>
      </c>
      <c r="AB20" s="32"/>
      <c r="AC20" s="104" t="str">
        <f t="shared" si="6"/>
        <v>NON</v>
      </c>
      <c r="AD20" s="106"/>
      <c r="AE20" s="38" t="s">
        <v>422</v>
      </c>
      <c r="AF20" s="36" t="s">
        <v>276</v>
      </c>
      <c r="AG20" s="32" t="s">
        <v>423</v>
      </c>
      <c r="AH20" s="32"/>
      <c r="AI20" s="127">
        <v>75007</v>
      </c>
      <c r="AJ20" s="32" t="s">
        <v>376</v>
      </c>
      <c r="AK20" s="150" t="s">
        <v>424</v>
      </c>
      <c r="AL20" s="157">
        <v>1</v>
      </c>
      <c r="AM20" s="157" t="s">
        <v>254</v>
      </c>
      <c r="AN20" s="162">
        <v>2434.7800000000002</v>
      </c>
      <c r="AO20" s="75" t="str">
        <f t="shared" si="28"/>
        <v/>
      </c>
      <c r="AP20" s="40"/>
      <c r="AQ20" s="103"/>
      <c r="AR20" s="40"/>
      <c r="AS20" s="40"/>
      <c r="AT20" s="117"/>
      <c r="AU20" s="40"/>
      <c r="AV20" s="40"/>
      <c r="AW20" s="103"/>
      <c r="AX20" s="103"/>
      <c r="AY20" s="162"/>
      <c r="AZ20" s="38"/>
      <c r="BA20" s="32" t="s">
        <v>488</v>
      </c>
      <c r="BB20" s="35" t="str">
        <f t="shared" si="8"/>
        <v>MRI</v>
      </c>
      <c r="BC20" s="114" t="str">
        <f t="shared" si="9"/>
        <v>NON</v>
      </c>
      <c r="BD20" s="35" t="str">
        <f t="shared" si="10"/>
        <v>NON</v>
      </c>
      <c r="BE20" s="37" t="str">
        <f t="shared" si="11"/>
        <v>NON</v>
      </c>
      <c r="BF20" s="38"/>
      <c r="BG20" s="77">
        <f>IF(ISERROR(VLOOKUP(A20,'Tableaux à actualiser'!$A$2:$C$1048576,2,FALSE)),0,VLOOKUP(A20,'Tableaux à actualiser'!$A$2:$C$1048576,2,FALSE))</f>
        <v>0</v>
      </c>
      <c r="BH20" s="78">
        <f>IF(ISERROR(VLOOKUP(A20,'Tableaux à actualiser'!$A$2:$C$1048576,3,FALSE)),0,VLOOKUP(A20,'Tableaux à actualiser'!$A$2:$C$1048576,3,FALSE))</f>
        <v>0</v>
      </c>
      <c r="BI20" s="78">
        <f t="shared" si="17"/>
        <v>2243.0410000000002</v>
      </c>
      <c r="BJ20" s="80">
        <f t="shared" si="12"/>
        <v>2.2430410000000003</v>
      </c>
      <c r="BK20" s="78">
        <f t="shared" si="40"/>
        <v>1929.0152600000001</v>
      </c>
      <c r="BL20" s="78">
        <f t="shared" ref="BL20:BN20" si="44">BK20*0.95</f>
        <v>1832.5644970000001</v>
      </c>
      <c r="BM20" s="78">
        <f t="shared" si="44"/>
        <v>1740.9362721499999</v>
      </c>
      <c r="BN20" s="78">
        <f t="shared" si="44"/>
        <v>1653.8894585424998</v>
      </c>
      <c r="BO20" s="78">
        <f t="shared" si="24"/>
        <v>7156.4054876925002</v>
      </c>
      <c r="BP20" s="84">
        <f t="shared" si="37"/>
        <v>0</v>
      </c>
      <c r="BQ20" s="79">
        <f t="shared" si="20"/>
        <v>2434.7800000000002</v>
      </c>
      <c r="BR20" s="132"/>
      <c r="BS20" s="138">
        <f t="shared" si="13"/>
        <v>2.4347800000000004</v>
      </c>
      <c r="BT20" s="195">
        <f t="shared" si="31"/>
        <v>2313.0410000000002</v>
      </c>
      <c r="BU20" s="195">
        <f t="shared" si="21"/>
        <v>70</v>
      </c>
      <c r="BV20" s="140"/>
      <c r="BW20" s="141"/>
      <c r="BX20" s="191">
        <f t="shared" si="25"/>
        <v>2313.0410000000002</v>
      </c>
      <c r="BY20" s="81">
        <f t="shared" si="33"/>
        <v>2434.7800000000002</v>
      </c>
      <c r="BZ20" s="178">
        <f t="shared" si="22"/>
        <v>-121.73900000000003</v>
      </c>
      <c r="CA20" s="180"/>
      <c r="CB20" s="181"/>
      <c r="CC20" s="181"/>
      <c r="CD20" s="181"/>
      <c r="CE20" s="181"/>
    </row>
    <row r="21" spans="1:83" x14ac:dyDescent="0.25">
      <c r="A21" s="20">
        <f t="shared" si="14"/>
        <v>15</v>
      </c>
      <c r="B21" s="107" t="str">
        <f>IF(A21&lt;&gt;"",'EDC - PARAMETRAGE'!$A$3,"")</f>
        <v>GROUPE DEBAYLE</v>
      </c>
      <c r="C21" s="119">
        <f>IF(A21&lt;&gt;"",'EDC - PARAMETRAGE'!$A$6,"")</f>
        <v>42562</v>
      </c>
      <c r="D21" s="123" t="s">
        <v>308</v>
      </c>
      <c r="E21" s="111" t="s">
        <v>334</v>
      </c>
      <c r="F21" s="149">
        <v>132</v>
      </c>
      <c r="G21" s="32"/>
      <c r="H21" s="36" t="str">
        <f t="shared" si="15"/>
        <v>SDC</v>
      </c>
      <c r="I21" s="32" t="s">
        <v>350</v>
      </c>
      <c r="J21" s="32"/>
      <c r="K21" s="127">
        <v>75018</v>
      </c>
      <c r="L21" s="32" t="s">
        <v>376</v>
      </c>
      <c r="M21" s="127"/>
      <c r="N21" s="127"/>
      <c r="O21" s="36" t="str">
        <f t="shared" si="1"/>
        <v>&lt;1500</v>
      </c>
      <c r="P21" s="37"/>
      <c r="Q21" s="128">
        <v>2980</v>
      </c>
      <c r="R21" s="115">
        <f t="shared" si="27"/>
        <v>0</v>
      </c>
      <c r="S21" s="170" t="str">
        <f>IF(A21&lt;&gt;"","SDCV","")</f>
        <v>SDCV</v>
      </c>
      <c r="T21" s="170" t="str">
        <f>IF(A21&lt;&gt;"","0","")</f>
        <v>0</v>
      </c>
      <c r="U21" s="77">
        <f t="shared" si="16"/>
        <v>0</v>
      </c>
      <c r="V21" s="77">
        <f t="shared" si="4"/>
        <v>0</v>
      </c>
      <c r="W21" s="77">
        <f t="shared" si="5"/>
        <v>2980</v>
      </c>
      <c r="X21" s="32"/>
      <c r="Y21" s="127">
        <v>2</v>
      </c>
      <c r="Z21" s="127">
        <v>1</v>
      </c>
      <c r="AA21" s="127">
        <v>7</v>
      </c>
      <c r="AB21" s="32"/>
      <c r="AC21" s="104" t="str">
        <f t="shared" si="6"/>
        <v>NON</v>
      </c>
      <c r="AD21" s="106"/>
      <c r="AE21" s="38" t="s">
        <v>425</v>
      </c>
      <c r="AF21" s="36" t="s">
        <v>65</v>
      </c>
      <c r="AG21" s="32" t="s">
        <v>426</v>
      </c>
      <c r="AH21" s="32"/>
      <c r="AI21" s="127">
        <v>62301</v>
      </c>
      <c r="AJ21" s="32" t="s">
        <v>427</v>
      </c>
      <c r="AK21" s="150" t="s">
        <v>428</v>
      </c>
      <c r="AL21" s="157">
        <v>1</v>
      </c>
      <c r="AM21" s="157" t="s">
        <v>243</v>
      </c>
      <c r="AN21" s="162">
        <v>3130.18</v>
      </c>
      <c r="AO21" s="75" t="str">
        <f t="shared" si="28"/>
        <v/>
      </c>
      <c r="AP21" s="40"/>
      <c r="AQ21" s="103"/>
      <c r="AR21" s="40"/>
      <c r="AS21" s="40"/>
      <c r="AT21" s="117"/>
      <c r="AU21" s="40"/>
      <c r="AV21" s="40"/>
      <c r="AW21" s="103"/>
      <c r="AX21" s="103"/>
      <c r="AY21" s="162"/>
      <c r="AZ21" s="38"/>
      <c r="BA21" s="32" t="s">
        <v>489</v>
      </c>
      <c r="BB21" s="35" t="str">
        <f t="shared" si="8"/>
        <v>MRI</v>
      </c>
      <c r="BC21" s="114" t="str">
        <f t="shared" si="9"/>
        <v>NON</v>
      </c>
      <c r="BD21" s="35" t="str">
        <f t="shared" si="10"/>
        <v>NON</v>
      </c>
      <c r="BE21" s="37" t="str">
        <f t="shared" si="11"/>
        <v>NON</v>
      </c>
      <c r="BF21" s="38"/>
      <c r="BG21" s="77">
        <f>IF(ISERROR(VLOOKUP(A21,'Tableaux à actualiser'!$A$2:$C$1048576,2,FALSE)),0,VLOOKUP(A21,'Tableaux à actualiser'!$A$2:$C$1048576,2,FALSE))</f>
        <v>0</v>
      </c>
      <c r="BH21" s="78">
        <f>IF(ISERROR(VLOOKUP(A21,'Tableaux à actualiser'!$A$2:$C$1048576,3,FALSE)),0,VLOOKUP(A21,'Tableaux à actualiser'!$A$2:$C$1048576,3,FALSE))</f>
        <v>0</v>
      </c>
      <c r="BI21" s="78">
        <f t="shared" si="17"/>
        <v>2765.0709999999999</v>
      </c>
      <c r="BJ21" s="80">
        <f t="shared" si="12"/>
        <v>0.92787617449664428</v>
      </c>
      <c r="BK21" s="78">
        <f t="shared" si="40"/>
        <v>2377.9610600000001</v>
      </c>
      <c r="BL21" s="78">
        <f t="shared" ref="BL21:BN21" si="45">BK21*0.95</f>
        <v>2259.0630070000002</v>
      </c>
      <c r="BM21" s="78">
        <f t="shared" si="45"/>
        <v>2146.10985665</v>
      </c>
      <c r="BN21" s="78">
        <f t="shared" si="45"/>
        <v>2038.8043638175</v>
      </c>
      <c r="BO21" s="78">
        <f t="shared" si="24"/>
        <v>8821.9382874675011</v>
      </c>
      <c r="BP21" s="84">
        <f t="shared" si="37"/>
        <v>0</v>
      </c>
      <c r="BQ21" s="79">
        <f t="shared" si="20"/>
        <v>3130.18</v>
      </c>
      <c r="BR21" s="132"/>
      <c r="BS21" s="138">
        <f t="shared" si="13"/>
        <v>1.0503959731543624</v>
      </c>
      <c r="BT21" s="195">
        <f t="shared" si="31"/>
        <v>2973.6709999999998</v>
      </c>
      <c r="BU21" s="195">
        <f t="shared" si="21"/>
        <v>208.60000000000002</v>
      </c>
      <c r="BV21" s="140"/>
      <c r="BW21" s="141"/>
      <c r="BX21" s="191">
        <f t="shared" si="25"/>
        <v>2973.6709999999998</v>
      </c>
      <c r="BY21" s="81">
        <f t="shared" si="33"/>
        <v>3130.18</v>
      </c>
      <c r="BZ21" s="178">
        <f t="shared" si="22"/>
        <v>-156.50900000000001</v>
      </c>
      <c r="CA21" s="180"/>
      <c r="CB21" s="181"/>
      <c r="CC21" s="212">
        <v>42672</v>
      </c>
      <c r="CD21" s="181"/>
      <c r="CE21" s="213">
        <v>42736</v>
      </c>
    </row>
    <row r="22" spans="1:83" x14ac:dyDescent="0.25">
      <c r="A22" s="20">
        <f t="shared" si="14"/>
        <v>16</v>
      </c>
      <c r="B22" s="107" t="str">
        <f>IF(A22&lt;&gt;"",'EDC - PARAMETRAGE'!$A$3,"")</f>
        <v>GROUPE DEBAYLE</v>
      </c>
      <c r="C22" s="119">
        <f>IF(A22&lt;&gt;"",'EDC - PARAMETRAGE'!$A$6,"")</f>
        <v>42562</v>
      </c>
      <c r="D22" s="123" t="s">
        <v>309</v>
      </c>
      <c r="E22" s="111" t="s">
        <v>334</v>
      </c>
      <c r="F22" s="149">
        <v>133</v>
      </c>
      <c r="G22" s="32"/>
      <c r="H22" s="36" t="str">
        <f t="shared" si="15"/>
        <v>SDC</v>
      </c>
      <c r="I22" s="32" t="s">
        <v>351</v>
      </c>
      <c r="J22" s="32"/>
      <c r="K22" s="127">
        <v>75010</v>
      </c>
      <c r="L22" s="32" t="s">
        <v>376</v>
      </c>
      <c r="M22" s="127"/>
      <c r="N22" s="127"/>
      <c r="O22" s="36" t="str">
        <f t="shared" si="1"/>
        <v>&lt;1500</v>
      </c>
      <c r="P22" s="37"/>
      <c r="Q22" s="128">
        <v>680</v>
      </c>
      <c r="R22" s="115">
        <f t="shared" si="27"/>
        <v>0</v>
      </c>
      <c r="S22" s="170" t="str">
        <f>IF(A22&lt;&gt;"","SDCV","")</f>
        <v>SDCV</v>
      </c>
      <c r="T22" s="170" t="str">
        <f>IF(A22&lt;&gt;"","0","")</f>
        <v>0</v>
      </c>
      <c r="U22" s="77">
        <f t="shared" si="16"/>
        <v>0</v>
      </c>
      <c r="V22" s="77">
        <f t="shared" si="4"/>
        <v>0</v>
      </c>
      <c r="W22" s="77">
        <f t="shared" si="5"/>
        <v>680</v>
      </c>
      <c r="X22" s="32"/>
      <c r="Y22" s="127">
        <v>1</v>
      </c>
      <c r="Z22" s="127">
        <v>1</v>
      </c>
      <c r="AA22" s="127">
        <v>7</v>
      </c>
      <c r="AB22" s="32"/>
      <c r="AC22" s="104" t="str">
        <f t="shared" si="6"/>
        <v>NON</v>
      </c>
      <c r="AD22" s="106"/>
      <c r="AE22" s="38" t="s">
        <v>429</v>
      </c>
      <c r="AF22" s="36" t="s">
        <v>259</v>
      </c>
      <c r="AG22" s="32" t="s">
        <v>430</v>
      </c>
      <c r="AH22" s="32" t="s">
        <v>431</v>
      </c>
      <c r="AI22" s="127">
        <v>95871</v>
      </c>
      <c r="AJ22" s="32" t="s">
        <v>432</v>
      </c>
      <c r="AK22" s="150">
        <v>77050215</v>
      </c>
      <c r="AL22" s="157">
        <v>1</v>
      </c>
      <c r="AM22" s="157" t="s">
        <v>246</v>
      </c>
      <c r="AN22" s="162">
        <v>1402</v>
      </c>
      <c r="AO22" s="75" t="str">
        <f t="shared" si="28"/>
        <v/>
      </c>
      <c r="AP22" s="40"/>
      <c r="AQ22" s="103"/>
      <c r="AR22" s="40"/>
      <c r="AS22" s="40"/>
      <c r="AT22" s="117"/>
      <c r="AU22" s="40"/>
      <c r="AV22" s="40"/>
      <c r="AW22" s="103"/>
      <c r="AX22" s="103"/>
      <c r="AY22" s="162"/>
      <c r="AZ22" s="38"/>
      <c r="BA22" s="32"/>
      <c r="BB22" s="35" t="str">
        <f t="shared" si="8"/>
        <v>MRI</v>
      </c>
      <c r="BC22" s="114" t="str">
        <f t="shared" si="9"/>
        <v>NON</v>
      </c>
      <c r="BD22" s="35" t="str">
        <f t="shared" si="10"/>
        <v>NON</v>
      </c>
      <c r="BE22" s="37" t="str">
        <f t="shared" si="11"/>
        <v>NON</v>
      </c>
      <c r="BF22" s="38"/>
      <c r="BG22" s="77">
        <f>IF(ISERROR(VLOOKUP(A22,'Tableaux à actualiser'!$A$2:$C$1048576,2,FALSE)),0,VLOOKUP(A22,'Tableaux à actualiser'!$A$2:$C$1048576,2,FALSE))</f>
        <v>0</v>
      </c>
      <c r="BH22" s="78">
        <f>IF(ISERROR(VLOOKUP(A22,'Tableaux à actualiser'!$A$2:$C$1048576,3,FALSE)),0,VLOOKUP(A22,'Tableaux à actualiser'!$A$2:$C$1048576,3,FALSE))</f>
        <v>0</v>
      </c>
      <c r="BI22" s="78">
        <f t="shared" si="17"/>
        <v>1284.3</v>
      </c>
      <c r="BJ22" s="80">
        <f t="shared" si="12"/>
        <v>1.8886764705882353</v>
      </c>
      <c r="BK22" s="78">
        <f t="shared" si="40"/>
        <v>1104.498</v>
      </c>
      <c r="BL22" s="78">
        <f t="shared" ref="BL22:BN22" si="46">BK22*0.95</f>
        <v>1049.2730999999999</v>
      </c>
      <c r="BM22" s="78">
        <f t="shared" si="46"/>
        <v>996.80944499999987</v>
      </c>
      <c r="BN22" s="78">
        <f t="shared" si="46"/>
        <v>946.96897274999981</v>
      </c>
      <c r="BO22" s="78">
        <f t="shared" si="24"/>
        <v>4097.5495177499997</v>
      </c>
      <c r="BP22" s="84">
        <f t="shared" si="35"/>
        <v>0</v>
      </c>
      <c r="BQ22" s="79">
        <f t="shared" si="20"/>
        <v>1402</v>
      </c>
      <c r="BR22" s="132"/>
      <c r="BS22" s="138">
        <f t="shared" si="13"/>
        <v>2.0617647058823527</v>
      </c>
      <c r="BT22" s="195">
        <f t="shared" si="31"/>
        <v>1331.8999999999999</v>
      </c>
      <c r="BU22" s="195">
        <f t="shared" si="21"/>
        <v>47.6</v>
      </c>
      <c r="BV22" s="140"/>
      <c r="BW22" s="141"/>
      <c r="BX22" s="191">
        <f t="shared" si="25"/>
        <v>1331.8999999999999</v>
      </c>
      <c r="BY22" s="81">
        <f t="shared" si="33"/>
        <v>1402</v>
      </c>
      <c r="BZ22" s="178">
        <f t="shared" si="22"/>
        <v>-70.100000000000136</v>
      </c>
      <c r="CA22" s="180"/>
      <c r="CB22" s="181"/>
      <c r="CC22" s="181"/>
      <c r="CD22" s="181"/>
      <c r="CE22" s="181"/>
    </row>
    <row r="23" spans="1:83" x14ac:dyDescent="0.25">
      <c r="A23" s="20">
        <f t="shared" si="14"/>
        <v>17</v>
      </c>
      <c r="B23" s="107" t="str">
        <f>IF(A23&lt;&gt;"",'EDC - PARAMETRAGE'!$A$3,"")</f>
        <v>GROUPE DEBAYLE</v>
      </c>
      <c r="C23" s="119">
        <f>IF(A23&lt;&gt;"",'EDC - PARAMETRAGE'!$A$6,"")</f>
        <v>42562</v>
      </c>
      <c r="D23" s="123" t="s">
        <v>310</v>
      </c>
      <c r="E23" s="111" t="s">
        <v>334</v>
      </c>
      <c r="F23" s="149">
        <v>134</v>
      </c>
      <c r="G23" s="32"/>
      <c r="H23" s="36" t="str">
        <f t="shared" si="15"/>
        <v>SDC</v>
      </c>
      <c r="I23" s="32" t="s">
        <v>352</v>
      </c>
      <c r="J23" s="32"/>
      <c r="K23" s="127">
        <v>75009</v>
      </c>
      <c r="L23" s="32" t="s">
        <v>376</v>
      </c>
      <c r="M23" s="127"/>
      <c r="N23" s="127"/>
      <c r="O23" s="36" t="str">
        <f t="shared" si="1"/>
        <v>&lt;1500</v>
      </c>
      <c r="P23" s="37"/>
      <c r="Q23" s="128">
        <v>2900</v>
      </c>
      <c r="R23" s="115">
        <f t="shared" si="27"/>
        <v>0</v>
      </c>
      <c r="S23" s="170" t="s">
        <v>38</v>
      </c>
      <c r="T23" s="170">
        <v>0.24</v>
      </c>
      <c r="U23" s="77">
        <f t="shared" si="16"/>
        <v>0</v>
      </c>
      <c r="V23" s="77">
        <f t="shared" si="4"/>
        <v>696</v>
      </c>
      <c r="W23" s="77">
        <f t="shared" si="5"/>
        <v>2204</v>
      </c>
      <c r="X23" s="32" t="s">
        <v>131</v>
      </c>
      <c r="Y23" s="127">
        <v>2</v>
      </c>
      <c r="Z23" s="127">
        <v>1</v>
      </c>
      <c r="AA23" s="127">
        <v>5</v>
      </c>
      <c r="AB23" s="32"/>
      <c r="AC23" s="104" t="str">
        <f t="shared" si="6"/>
        <v>NON</v>
      </c>
      <c r="AD23" s="106"/>
      <c r="AE23" s="38" t="s">
        <v>433</v>
      </c>
      <c r="AF23" s="36" t="s">
        <v>260</v>
      </c>
      <c r="AG23" s="32" t="s">
        <v>434</v>
      </c>
      <c r="AH23" s="32"/>
      <c r="AI23" s="127">
        <v>14440</v>
      </c>
      <c r="AJ23" s="32" t="s">
        <v>435</v>
      </c>
      <c r="AK23" s="150">
        <v>5290548404</v>
      </c>
      <c r="AL23" s="157">
        <v>1</v>
      </c>
      <c r="AM23" s="157" t="s">
        <v>246</v>
      </c>
      <c r="AN23" s="162">
        <v>5165</v>
      </c>
      <c r="AO23" s="75" t="str">
        <f t="shared" si="28"/>
        <v/>
      </c>
      <c r="AP23" s="40"/>
      <c r="AQ23" s="103"/>
      <c r="AR23" s="40"/>
      <c r="AS23" s="40"/>
      <c r="AT23" s="117"/>
      <c r="AU23" s="40"/>
      <c r="AV23" s="40"/>
      <c r="AW23" s="103"/>
      <c r="AX23" s="103"/>
      <c r="AY23" s="162"/>
      <c r="AZ23" s="38"/>
      <c r="BA23" s="32"/>
      <c r="BB23" s="35" t="str">
        <f t="shared" si="8"/>
        <v>MRI</v>
      </c>
      <c r="BC23" s="114" t="str">
        <f t="shared" si="9"/>
        <v>NON</v>
      </c>
      <c r="BD23" s="35" t="str">
        <f t="shared" si="10"/>
        <v>NON</v>
      </c>
      <c r="BE23" s="37" t="str">
        <f t="shared" si="11"/>
        <v>NON</v>
      </c>
      <c r="BF23" s="38"/>
      <c r="BG23" s="77">
        <f>IF(ISERROR(VLOOKUP(A23,'Tableaux à actualiser'!$A$2:$C$1048576,2,FALSE)),0,VLOOKUP(A23,'Tableaux à actualiser'!$A$2:$C$1048576,2,FALSE))</f>
        <v>2</v>
      </c>
      <c r="BH23" s="78">
        <f>IF(ISERROR(VLOOKUP(A23,'Tableaux à actualiser'!$A$2:$C$1048576,3,FALSE)),0,VLOOKUP(A23,'Tableaux à actualiser'!$A$2:$C$1048576,3,FALSE))</f>
        <v>2111</v>
      </c>
      <c r="BI23" s="78">
        <f t="shared" si="17"/>
        <v>4187.25</v>
      </c>
      <c r="BJ23" s="80">
        <f t="shared" si="12"/>
        <v>1.4438793103448275</v>
      </c>
      <c r="BK23" s="78">
        <f t="shared" si="40"/>
        <v>3601.0349999999999</v>
      </c>
      <c r="BL23" s="78">
        <f t="shared" ref="BL23:BN23" si="47">BK23*0.95</f>
        <v>3420.9832499999998</v>
      </c>
      <c r="BM23" s="78">
        <f t="shared" si="47"/>
        <v>3249.9340874999998</v>
      </c>
      <c r="BN23" s="78">
        <f t="shared" si="47"/>
        <v>3087.4373831249995</v>
      </c>
      <c r="BO23" s="78">
        <f t="shared" si="24"/>
        <v>13359.389720624999</v>
      </c>
      <c r="BP23" s="84">
        <f t="shared" si="35"/>
        <v>0.15801620015178658</v>
      </c>
      <c r="BQ23" s="79">
        <f t="shared" si="20"/>
        <v>5165</v>
      </c>
      <c r="BR23" s="132" t="s">
        <v>49</v>
      </c>
      <c r="BS23" s="138">
        <f t="shared" si="13"/>
        <v>1.7810344827586206</v>
      </c>
      <c r="BT23" s="195">
        <f>BQ23*0.85</f>
        <v>4390.25</v>
      </c>
      <c r="BU23" s="195">
        <f t="shared" si="21"/>
        <v>203.00000000000003</v>
      </c>
      <c r="BV23" s="140"/>
      <c r="BW23" s="141"/>
      <c r="BX23" s="191">
        <f t="shared" si="25"/>
        <v>4390.25</v>
      </c>
      <c r="BY23" s="81">
        <f t="shared" si="33"/>
        <v>5165</v>
      </c>
      <c r="BZ23" s="178">
        <f t="shared" si="22"/>
        <v>-774.75</v>
      </c>
      <c r="CA23" s="180"/>
      <c r="CB23" s="181"/>
      <c r="CC23" s="181"/>
      <c r="CD23" s="181"/>
      <c r="CE23" s="181"/>
    </row>
    <row r="24" spans="1:83" x14ac:dyDescent="0.25">
      <c r="A24" s="20">
        <f t="shared" si="14"/>
        <v>18</v>
      </c>
      <c r="B24" s="107" t="str">
        <f>IF(A24&lt;&gt;"",'EDC - PARAMETRAGE'!$A$3,"")</f>
        <v>GROUPE DEBAYLE</v>
      </c>
      <c r="C24" s="119">
        <f>IF(A24&lt;&gt;"",'EDC - PARAMETRAGE'!$A$6,"")</f>
        <v>42562</v>
      </c>
      <c r="D24" s="123" t="s">
        <v>311</v>
      </c>
      <c r="E24" s="111" t="s">
        <v>334</v>
      </c>
      <c r="F24" s="149">
        <v>135</v>
      </c>
      <c r="G24" s="32"/>
      <c r="H24" s="36" t="str">
        <f t="shared" si="15"/>
        <v>SDC</v>
      </c>
      <c r="I24" s="32" t="s">
        <v>353</v>
      </c>
      <c r="J24" s="32"/>
      <c r="K24" s="127">
        <v>75016</v>
      </c>
      <c r="L24" s="32" t="s">
        <v>376</v>
      </c>
      <c r="M24" s="127"/>
      <c r="N24" s="127"/>
      <c r="O24" s="36" t="str">
        <f t="shared" si="1"/>
        <v>&lt;1500</v>
      </c>
      <c r="P24" s="37"/>
      <c r="Q24" s="128">
        <v>5000</v>
      </c>
      <c r="R24" s="115">
        <f t="shared" si="27"/>
        <v>0</v>
      </c>
      <c r="S24" s="170" t="str">
        <f t="shared" ref="S24:S49" si="48">IF(A24&lt;&gt;"","SDCV","")</f>
        <v>SDCV</v>
      </c>
      <c r="T24" s="170" t="str">
        <f t="shared" ref="T24:T49" si="49">IF(A24&lt;&gt;"","0","")</f>
        <v>0</v>
      </c>
      <c r="U24" s="77">
        <f t="shared" si="16"/>
        <v>0</v>
      </c>
      <c r="V24" s="77">
        <f t="shared" si="4"/>
        <v>0</v>
      </c>
      <c r="W24" s="77">
        <f t="shared" si="5"/>
        <v>5000</v>
      </c>
      <c r="X24" s="32"/>
      <c r="Y24" s="127">
        <v>1</v>
      </c>
      <c r="Z24" s="127">
        <v>1</v>
      </c>
      <c r="AA24" s="127">
        <v>9</v>
      </c>
      <c r="AB24" s="32"/>
      <c r="AC24" s="104" t="str">
        <f t="shared" si="6"/>
        <v>NON</v>
      </c>
      <c r="AD24" s="106"/>
      <c r="AE24" s="38" t="s">
        <v>417</v>
      </c>
      <c r="AF24" s="36" t="s">
        <v>263</v>
      </c>
      <c r="AG24" s="40" t="s">
        <v>418</v>
      </c>
      <c r="AH24" s="40" t="s">
        <v>419</v>
      </c>
      <c r="AI24" s="117">
        <v>92415</v>
      </c>
      <c r="AJ24" s="40" t="s">
        <v>420</v>
      </c>
      <c r="AK24" s="150">
        <v>141834325</v>
      </c>
      <c r="AL24" s="157">
        <v>1</v>
      </c>
      <c r="AM24" s="157" t="s">
        <v>243</v>
      </c>
      <c r="AN24" s="162">
        <v>7961</v>
      </c>
      <c r="AO24" s="75" t="str">
        <f t="shared" si="28"/>
        <v/>
      </c>
      <c r="AP24" s="40"/>
      <c r="AQ24" s="103"/>
      <c r="AR24" s="40"/>
      <c r="AS24" s="40"/>
      <c r="AT24" s="117"/>
      <c r="AU24" s="40"/>
      <c r="AV24" s="40"/>
      <c r="AW24" s="103"/>
      <c r="AX24" s="103"/>
      <c r="AY24" s="162"/>
      <c r="AZ24" s="38"/>
      <c r="BA24" s="32"/>
      <c r="BB24" s="35" t="str">
        <f t="shared" si="8"/>
        <v>MRI</v>
      </c>
      <c r="BC24" s="114" t="str">
        <f t="shared" si="9"/>
        <v>NON</v>
      </c>
      <c r="BD24" s="35" t="str">
        <f t="shared" si="10"/>
        <v>NON</v>
      </c>
      <c r="BE24" s="37" t="str">
        <f t="shared" si="11"/>
        <v>NON</v>
      </c>
      <c r="BF24" s="38"/>
      <c r="BG24" s="77">
        <f>IF(ISERROR(VLOOKUP(A24,'Tableaux à actualiser'!$A$2:$C$1048576,2,FALSE)),0,VLOOKUP(A24,'Tableaux à actualiser'!$A$2:$C$1048576,2,FALSE))</f>
        <v>0</v>
      </c>
      <c r="BH24" s="78">
        <f>IF(ISERROR(VLOOKUP(A24,'Tableaux à actualiser'!$A$2:$C$1048576,3,FALSE)),0,VLOOKUP(A24,'Tableaux à actualiser'!$A$2:$C$1048576,3,FALSE))</f>
        <v>0</v>
      </c>
      <c r="BI24" s="78">
        <f t="shared" si="17"/>
        <v>7133.3399999999992</v>
      </c>
      <c r="BJ24" s="80">
        <f t="shared" si="12"/>
        <v>1.4266679999999998</v>
      </c>
      <c r="BK24" s="78">
        <f t="shared" si="40"/>
        <v>6134.6723999999995</v>
      </c>
      <c r="BL24" s="78">
        <f t="shared" ref="BL24:BN24" si="50">BK24*0.95</f>
        <v>5827.9387799999995</v>
      </c>
      <c r="BM24" s="78">
        <f t="shared" si="50"/>
        <v>5536.5418409999993</v>
      </c>
      <c r="BN24" s="78">
        <f t="shared" si="50"/>
        <v>5259.7147489499994</v>
      </c>
      <c r="BO24" s="78">
        <f t="shared" si="24"/>
        <v>22758.867769949997</v>
      </c>
      <c r="BP24" s="84">
        <f t="shared" si="35"/>
        <v>0</v>
      </c>
      <c r="BQ24" s="79">
        <f t="shared" si="20"/>
        <v>7961</v>
      </c>
      <c r="BR24" s="132" t="s">
        <v>49</v>
      </c>
      <c r="BS24" s="138">
        <f t="shared" si="13"/>
        <v>1.5922000000000001</v>
      </c>
      <c r="BT24" s="195">
        <f>BQ24*0.94</f>
        <v>7483.3399999999992</v>
      </c>
      <c r="BU24" s="195">
        <f t="shared" si="21"/>
        <v>350.00000000000006</v>
      </c>
      <c r="BV24" s="140"/>
      <c r="BW24" s="141"/>
      <c r="BX24" s="191">
        <f t="shared" si="25"/>
        <v>7483.3399999999992</v>
      </c>
      <c r="BY24" s="81">
        <f t="shared" si="33"/>
        <v>7961</v>
      </c>
      <c r="BZ24" s="178">
        <f t="shared" si="22"/>
        <v>-477.66000000000076</v>
      </c>
      <c r="CA24" s="180"/>
      <c r="CB24" s="181"/>
      <c r="CC24" s="181"/>
      <c r="CD24" s="181"/>
      <c r="CE24" s="181"/>
    </row>
    <row r="25" spans="1:83" x14ac:dyDescent="0.25">
      <c r="A25" s="20">
        <f t="shared" si="14"/>
        <v>19</v>
      </c>
      <c r="B25" s="107" t="str">
        <f>IF(A25&lt;&gt;"",'EDC - PARAMETRAGE'!$A$3,"")</f>
        <v>GROUPE DEBAYLE</v>
      </c>
      <c r="C25" s="119">
        <f>IF(A25&lt;&gt;"",'EDC - PARAMETRAGE'!$A$6,"")</f>
        <v>42562</v>
      </c>
      <c r="D25" s="123" t="s">
        <v>312</v>
      </c>
      <c r="E25" s="111" t="s">
        <v>334</v>
      </c>
      <c r="F25" s="149">
        <v>136</v>
      </c>
      <c r="G25" s="32"/>
      <c r="H25" s="36" t="str">
        <f t="shared" si="15"/>
        <v>SDC</v>
      </c>
      <c r="I25" s="32" t="s">
        <v>354</v>
      </c>
      <c r="J25" s="32"/>
      <c r="K25" s="127">
        <v>75018</v>
      </c>
      <c r="L25" s="32" t="s">
        <v>376</v>
      </c>
      <c r="M25" s="127"/>
      <c r="N25" s="127"/>
      <c r="O25" s="36" t="str">
        <f t="shared" si="1"/>
        <v>&lt;1500</v>
      </c>
      <c r="P25" s="37"/>
      <c r="Q25" s="128">
        <v>3051</v>
      </c>
      <c r="R25" s="115">
        <f t="shared" si="27"/>
        <v>0</v>
      </c>
      <c r="S25" s="170" t="str">
        <f t="shared" si="48"/>
        <v>SDCV</v>
      </c>
      <c r="T25" s="170" t="str">
        <f t="shared" si="49"/>
        <v>0</v>
      </c>
      <c r="U25" s="77">
        <f t="shared" si="16"/>
        <v>0</v>
      </c>
      <c r="V25" s="77">
        <f t="shared" si="4"/>
        <v>0</v>
      </c>
      <c r="W25" s="77">
        <f t="shared" si="5"/>
        <v>3051</v>
      </c>
      <c r="X25" s="32"/>
      <c r="Y25" s="127">
        <v>1</v>
      </c>
      <c r="Z25" s="127">
        <v>1</v>
      </c>
      <c r="AA25" s="127">
        <v>7</v>
      </c>
      <c r="AB25" s="32"/>
      <c r="AC25" s="104" t="str">
        <f t="shared" si="6"/>
        <v>NON</v>
      </c>
      <c r="AD25" s="106"/>
      <c r="AE25" s="38" t="s">
        <v>436</v>
      </c>
      <c r="AF25" s="36" t="s">
        <v>276</v>
      </c>
      <c r="AG25" s="32" t="s">
        <v>437</v>
      </c>
      <c r="AH25" s="32"/>
      <c r="AI25" s="127">
        <v>75008</v>
      </c>
      <c r="AJ25" s="32" t="s">
        <v>376</v>
      </c>
      <c r="AK25" s="150" t="s">
        <v>438</v>
      </c>
      <c r="AL25" s="157">
        <v>1</v>
      </c>
      <c r="AM25" s="157" t="s">
        <v>243</v>
      </c>
      <c r="AN25" s="162">
        <v>5947.05</v>
      </c>
      <c r="AO25" s="75" t="str">
        <f t="shared" si="28"/>
        <v/>
      </c>
      <c r="AP25" s="40"/>
      <c r="AQ25" s="103"/>
      <c r="AR25" s="40"/>
      <c r="AS25" s="40"/>
      <c r="AT25" s="117"/>
      <c r="AU25" s="40"/>
      <c r="AV25" s="40"/>
      <c r="AW25" s="103"/>
      <c r="AX25" s="103"/>
      <c r="AY25" s="162"/>
      <c r="AZ25" s="38"/>
      <c r="BA25" s="32"/>
      <c r="BB25" s="35" t="str">
        <f t="shared" si="8"/>
        <v>MRI</v>
      </c>
      <c r="BC25" s="114" t="str">
        <f t="shared" si="9"/>
        <v>NON</v>
      </c>
      <c r="BD25" s="35" t="str">
        <f t="shared" si="10"/>
        <v>NON</v>
      </c>
      <c r="BE25" s="37" t="str">
        <f t="shared" si="11"/>
        <v>NON</v>
      </c>
      <c r="BF25" s="38"/>
      <c r="BG25" s="77">
        <f>IF(ISERROR(VLOOKUP(A25,'Tableaux à actualiser'!$A$2:$C$1048576,2,FALSE)),0,VLOOKUP(A25,'Tableaux à actualiser'!$A$2:$C$1048576,2,FALSE))</f>
        <v>0</v>
      </c>
      <c r="BH25" s="78">
        <f>IF(ISERROR(VLOOKUP(A25,'Tableaux à actualiser'!$A$2:$C$1048576,3,FALSE)),0,VLOOKUP(A25,'Tableaux à actualiser'!$A$2:$C$1048576,3,FALSE))</f>
        <v>0</v>
      </c>
      <c r="BI25" s="78">
        <f t="shared" si="17"/>
        <v>5436.1275000000005</v>
      </c>
      <c r="BJ25" s="80">
        <f t="shared" si="12"/>
        <v>1.7817527040314654</v>
      </c>
      <c r="BK25" s="78">
        <f t="shared" si="40"/>
        <v>4675.0696500000004</v>
      </c>
      <c r="BL25" s="78">
        <f t="shared" ref="BL25:BN25" si="51">BK25*0.95</f>
        <v>4441.3161675000001</v>
      </c>
      <c r="BM25" s="78">
        <f t="shared" si="51"/>
        <v>4219.2503591249997</v>
      </c>
      <c r="BN25" s="78">
        <f t="shared" si="51"/>
        <v>4008.2878411687493</v>
      </c>
      <c r="BO25" s="78">
        <f t="shared" si="24"/>
        <v>17343.92401779375</v>
      </c>
      <c r="BP25" s="84">
        <f t="shared" si="35"/>
        <v>0</v>
      </c>
      <c r="BQ25" s="79">
        <f t="shared" si="20"/>
        <v>5947.05</v>
      </c>
      <c r="BR25" s="132"/>
      <c r="BS25" s="138">
        <f t="shared" si="13"/>
        <v>1.9492133726647001</v>
      </c>
      <c r="BT25" s="195">
        <f t="shared" si="31"/>
        <v>5649.6975000000002</v>
      </c>
      <c r="BU25" s="195">
        <f t="shared" si="21"/>
        <v>213.57000000000002</v>
      </c>
      <c r="BV25" s="140"/>
      <c r="BW25" s="141"/>
      <c r="BX25" s="191">
        <f t="shared" si="25"/>
        <v>5649.6975000000002</v>
      </c>
      <c r="BY25" s="81">
        <f t="shared" si="33"/>
        <v>5947.05</v>
      </c>
      <c r="BZ25" s="178">
        <f t="shared" si="22"/>
        <v>-297.35249999999996</v>
      </c>
      <c r="CA25" s="180"/>
      <c r="CB25" s="181"/>
      <c r="CC25" s="181"/>
      <c r="CD25" s="181"/>
      <c r="CE25" s="181"/>
    </row>
    <row r="26" spans="1:83" ht="45" x14ac:dyDescent="0.25">
      <c r="A26" s="20">
        <f t="shared" si="14"/>
        <v>20</v>
      </c>
      <c r="B26" s="107" t="str">
        <f>IF(A26&lt;&gt;"",'EDC - PARAMETRAGE'!$A$3,"")</f>
        <v>GROUPE DEBAYLE</v>
      </c>
      <c r="C26" s="119">
        <f>IF(A26&lt;&gt;"",'EDC - PARAMETRAGE'!$A$6,"")</f>
        <v>42562</v>
      </c>
      <c r="D26" s="123" t="s">
        <v>313</v>
      </c>
      <c r="E26" s="111" t="s">
        <v>334</v>
      </c>
      <c r="F26" s="149">
        <v>137</v>
      </c>
      <c r="G26" s="32"/>
      <c r="H26" s="36" t="str">
        <f t="shared" si="15"/>
        <v>SDC</v>
      </c>
      <c r="I26" s="32" t="s">
        <v>355</v>
      </c>
      <c r="J26" s="32"/>
      <c r="K26" s="127">
        <v>75016</v>
      </c>
      <c r="L26" s="32" t="s">
        <v>376</v>
      </c>
      <c r="M26" s="127"/>
      <c r="N26" s="127"/>
      <c r="O26" s="36" t="str">
        <f t="shared" si="1"/>
        <v>&lt;1500</v>
      </c>
      <c r="P26" s="37"/>
      <c r="Q26" s="128">
        <v>1785</v>
      </c>
      <c r="R26" s="115">
        <f t="shared" si="27"/>
        <v>0</v>
      </c>
      <c r="S26" s="170" t="str">
        <f t="shared" si="48"/>
        <v>SDCV</v>
      </c>
      <c r="T26" s="170" t="str">
        <f t="shared" si="49"/>
        <v>0</v>
      </c>
      <c r="U26" s="77">
        <f t="shared" si="16"/>
        <v>0</v>
      </c>
      <c r="V26" s="77">
        <f t="shared" si="4"/>
        <v>0</v>
      </c>
      <c r="W26" s="77">
        <f t="shared" si="5"/>
        <v>1785</v>
      </c>
      <c r="X26" s="32"/>
      <c r="Y26" s="127">
        <v>1</v>
      </c>
      <c r="Z26" s="127">
        <v>1</v>
      </c>
      <c r="AA26" s="127">
        <v>7</v>
      </c>
      <c r="AB26" s="32"/>
      <c r="AC26" s="104" t="str">
        <f t="shared" si="6"/>
        <v>NON</v>
      </c>
      <c r="AD26" s="106"/>
      <c r="AE26" s="38" t="s">
        <v>413</v>
      </c>
      <c r="AF26" s="36" t="s">
        <v>258</v>
      </c>
      <c r="AG26" s="32" t="s">
        <v>414</v>
      </c>
      <c r="AH26" s="32"/>
      <c r="AI26" s="127">
        <v>92200</v>
      </c>
      <c r="AJ26" s="32" t="s">
        <v>415</v>
      </c>
      <c r="AK26" s="150" t="s">
        <v>439</v>
      </c>
      <c r="AL26" s="157">
        <v>1</v>
      </c>
      <c r="AM26" s="157" t="s">
        <v>243</v>
      </c>
      <c r="AN26" s="162">
        <v>3886</v>
      </c>
      <c r="AO26" s="75" t="str">
        <f t="shared" si="28"/>
        <v/>
      </c>
      <c r="AP26" s="40"/>
      <c r="AQ26" s="103"/>
      <c r="AR26" s="40"/>
      <c r="AS26" s="40"/>
      <c r="AT26" s="117"/>
      <c r="AU26" s="40"/>
      <c r="AV26" s="40"/>
      <c r="AW26" s="103"/>
      <c r="AX26" s="103"/>
      <c r="AY26" s="162"/>
      <c r="AZ26" s="38"/>
      <c r="BA26" s="32"/>
      <c r="BB26" s="35" t="str">
        <f t="shared" si="8"/>
        <v>MRI</v>
      </c>
      <c r="BC26" s="114" t="str">
        <f t="shared" si="9"/>
        <v>NON</v>
      </c>
      <c r="BD26" s="35" t="str">
        <f t="shared" si="10"/>
        <v>NON</v>
      </c>
      <c r="BE26" s="37" t="str">
        <f t="shared" si="11"/>
        <v>NON</v>
      </c>
      <c r="BF26" s="38"/>
      <c r="BG26" s="77">
        <f>IF(ISERROR(VLOOKUP(A26,'Tableaux à actualiser'!$A$2:$C$1048576,2,FALSE)),0,VLOOKUP(A26,'Tableaux à actualiser'!$A$2:$C$1048576,2,FALSE))</f>
        <v>5</v>
      </c>
      <c r="BH26" s="78">
        <f>IF(ISERROR(VLOOKUP(A26,'Tableaux à actualiser'!$A$2:$C$1048576,3,FALSE)),0,VLOOKUP(A26,'Tableaux à actualiser'!$A$2:$C$1048576,3,FALSE))</f>
        <v>10740</v>
      </c>
      <c r="BI26" s="78">
        <f t="shared" si="17"/>
        <v>3566.75</v>
      </c>
      <c r="BJ26" s="80">
        <f t="shared" si="12"/>
        <v>1.9981792717086835</v>
      </c>
      <c r="BK26" s="78">
        <f t="shared" si="40"/>
        <v>3067.4049999999997</v>
      </c>
      <c r="BL26" s="78">
        <f t="shared" ref="BL26:BN26" si="52">BK26*0.95</f>
        <v>2914.0347499999998</v>
      </c>
      <c r="BM26" s="78">
        <f t="shared" si="52"/>
        <v>2768.3330124999998</v>
      </c>
      <c r="BN26" s="78">
        <f t="shared" si="52"/>
        <v>2629.9163618749994</v>
      </c>
      <c r="BO26" s="78">
        <f t="shared" si="24"/>
        <v>11379.689124374998</v>
      </c>
      <c r="BP26" s="84">
        <f t="shared" si="35"/>
        <v>0.94378676628302605</v>
      </c>
      <c r="BQ26" s="79">
        <f t="shared" si="20"/>
        <v>3886</v>
      </c>
      <c r="BR26" s="132" t="s">
        <v>49</v>
      </c>
      <c r="BS26" s="138">
        <f t="shared" si="13"/>
        <v>2.1770308123249298</v>
      </c>
      <c r="BT26" s="195">
        <f t="shared" si="31"/>
        <v>3691.7</v>
      </c>
      <c r="BU26" s="195">
        <f t="shared" si="21"/>
        <v>124.95000000000002</v>
      </c>
      <c r="BV26" s="140"/>
      <c r="BW26" s="141"/>
      <c r="BX26" s="191">
        <f t="shared" si="25"/>
        <v>3691.7</v>
      </c>
      <c r="BY26" s="81">
        <f t="shared" si="33"/>
        <v>3886</v>
      </c>
      <c r="BZ26" s="178">
        <f t="shared" si="22"/>
        <v>-194.30000000000018</v>
      </c>
      <c r="CA26" s="180" t="s">
        <v>504</v>
      </c>
      <c r="CB26" s="181"/>
      <c r="CC26" s="181"/>
      <c r="CD26" s="181"/>
      <c r="CE26" s="181"/>
    </row>
    <row r="27" spans="1:83" x14ac:dyDescent="0.25">
      <c r="A27" s="20">
        <f t="shared" si="14"/>
        <v>21</v>
      </c>
      <c r="B27" s="107" t="str">
        <f>IF(A27&lt;&gt;"",'EDC - PARAMETRAGE'!$A$3,"")</f>
        <v>GROUPE DEBAYLE</v>
      </c>
      <c r="C27" s="119">
        <f>IF(A27&lt;&gt;"",'EDC - PARAMETRAGE'!$A$6,"")</f>
        <v>42562</v>
      </c>
      <c r="D27" s="123" t="s">
        <v>314</v>
      </c>
      <c r="E27" s="111" t="s">
        <v>334</v>
      </c>
      <c r="F27" s="149">
        <v>138</v>
      </c>
      <c r="G27" s="32"/>
      <c r="H27" s="36" t="str">
        <f t="shared" si="15"/>
        <v>SDC</v>
      </c>
      <c r="I27" s="32" t="s">
        <v>356</v>
      </c>
      <c r="J27" s="32"/>
      <c r="K27" s="127">
        <v>75010</v>
      </c>
      <c r="L27" s="32" t="s">
        <v>376</v>
      </c>
      <c r="M27" s="127"/>
      <c r="N27" s="127"/>
      <c r="O27" s="36" t="str">
        <f t="shared" si="1"/>
        <v>&lt;1500</v>
      </c>
      <c r="P27" s="37"/>
      <c r="Q27" s="128">
        <v>880</v>
      </c>
      <c r="R27" s="115">
        <f t="shared" si="27"/>
        <v>0</v>
      </c>
      <c r="S27" s="170" t="str">
        <f t="shared" si="48"/>
        <v>SDCV</v>
      </c>
      <c r="T27" s="170" t="str">
        <f t="shared" si="49"/>
        <v>0</v>
      </c>
      <c r="U27" s="77">
        <f t="shared" si="16"/>
        <v>0</v>
      </c>
      <c r="V27" s="77">
        <f t="shared" si="4"/>
        <v>0</v>
      </c>
      <c r="W27" s="77">
        <f t="shared" si="5"/>
        <v>880</v>
      </c>
      <c r="X27" s="32"/>
      <c r="Y27" s="127">
        <v>1</v>
      </c>
      <c r="Z27" s="127">
        <v>1</v>
      </c>
      <c r="AA27" s="127">
        <v>6</v>
      </c>
      <c r="AB27" s="32"/>
      <c r="AC27" s="104" t="str">
        <f t="shared" si="6"/>
        <v>NON</v>
      </c>
      <c r="AD27" s="106"/>
      <c r="AE27" s="38" t="s">
        <v>440</v>
      </c>
      <c r="AF27" s="36" t="s">
        <v>65</v>
      </c>
      <c r="AG27" s="32" t="s">
        <v>441</v>
      </c>
      <c r="AH27" s="32"/>
      <c r="AI27" s="127">
        <v>92380</v>
      </c>
      <c r="AJ27" s="32" t="s">
        <v>442</v>
      </c>
      <c r="AK27" s="150" t="s">
        <v>443</v>
      </c>
      <c r="AL27" s="157">
        <v>1</v>
      </c>
      <c r="AM27" s="157" t="s">
        <v>253</v>
      </c>
      <c r="AN27" s="162">
        <v>3986</v>
      </c>
      <c r="AO27" s="75" t="str">
        <f t="shared" si="28"/>
        <v/>
      </c>
      <c r="AP27" s="40"/>
      <c r="AQ27" s="103"/>
      <c r="AR27" s="40"/>
      <c r="AS27" s="40"/>
      <c r="AT27" s="117"/>
      <c r="AU27" s="40"/>
      <c r="AV27" s="40"/>
      <c r="AW27" s="103"/>
      <c r="AX27" s="103"/>
      <c r="AY27" s="162"/>
      <c r="AZ27" s="38"/>
      <c r="BA27" s="32"/>
      <c r="BB27" s="35" t="str">
        <f t="shared" si="8"/>
        <v>MRI</v>
      </c>
      <c r="BC27" s="114" t="str">
        <f t="shared" si="9"/>
        <v>NON</v>
      </c>
      <c r="BD27" s="35" t="str">
        <f t="shared" si="10"/>
        <v>NON</v>
      </c>
      <c r="BE27" s="37" t="str">
        <f t="shared" si="11"/>
        <v>NON</v>
      </c>
      <c r="BF27" s="38"/>
      <c r="BG27" s="77">
        <f>IF(ISERROR(VLOOKUP(A27,'Tableaux à actualiser'!$A$2:$C$1048576,2,FALSE)),0,VLOOKUP(A27,'Tableaux à actualiser'!$A$2:$C$1048576,2,FALSE))</f>
        <v>0</v>
      </c>
      <c r="BH27" s="78">
        <f>IF(ISERROR(VLOOKUP(A27,'Tableaux à actualiser'!$A$2:$C$1048576,3,FALSE)),0,VLOOKUP(A27,'Tableaux à actualiser'!$A$2:$C$1048576,3,FALSE))</f>
        <v>0</v>
      </c>
      <c r="BI27" s="78">
        <f t="shared" si="17"/>
        <v>3725.1</v>
      </c>
      <c r="BJ27" s="80">
        <f t="shared" si="12"/>
        <v>4.2330681818181821</v>
      </c>
      <c r="BK27" s="78">
        <f t="shared" si="40"/>
        <v>3203.5859999999998</v>
      </c>
      <c r="BL27" s="78">
        <f t="shared" ref="BL27:BN27" si="53">BK27*0.95</f>
        <v>3043.4066999999995</v>
      </c>
      <c r="BM27" s="78">
        <f t="shared" si="53"/>
        <v>2891.2363649999993</v>
      </c>
      <c r="BN27" s="78">
        <f t="shared" si="53"/>
        <v>2746.6745467499991</v>
      </c>
      <c r="BO27" s="78">
        <f t="shared" si="24"/>
        <v>11884.903611749996</v>
      </c>
      <c r="BP27" s="84">
        <f t="shared" si="35"/>
        <v>0</v>
      </c>
      <c r="BQ27" s="79">
        <f t="shared" si="20"/>
        <v>3986</v>
      </c>
      <c r="BR27" s="132"/>
      <c r="BS27" s="138">
        <f t="shared" si="13"/>
        <v>4.5295454545454543</v>
      </c>
      <c r="BT27" s="195">
        <f t="shared" si="31"/>
        <v>3786.7</v>
      </c>
      <c r="BU27" s="195">
        <f t="shared" si="21"/>
        <v>61.600000000000009</v>
      </c>
      <c r="BV27" s="140"/>
      <c r="BW27" s="141"/>
      <c r="BX27" s="191">
        <f t="shared" si="25"/>
        <v>3786.7</v>
      </c>
      <c r="BY27" s="81">
        <f t="shared" si="33"/>
        <v>3986</v>
      </c>
      <c r="BZ27" s="178">
        <f t="shared" si="22"/>
        <v>-199.30000000000018</v>
      </c>
      <c r="CA27" s="180"/>
      <c r="CB27" s="181"/>
      <c r="CC27" s="181"/>
      <c r="CD27" s="181"/>
      <c r="CE27" s="181"/>
    </row>
    <row r="28" spans="1:83" ht="45" x14ac:dyDescent="0.25">
      <c r="A28" s="20">
        <f t="shared" si="14"/>
        <v>22</v>
      </c>
      <c r="B28" s="107" t="str">
        <f>IF(A28&lt;&gt;"",'EDC - PARAMETRAGE'!$A$3,"")</f>
        <v>GROUPE DEBAYLE</v>
      </c>
      <c r="C28" s="119">
        <f>IF(A28&lt;&gt;"",'EDC - PARAMETRAGE'!$A$6,"")</f>
        <v>42562</v>
      </c>
      <c r="D28" s="123" t="s">
        <v>315</v>
      </c>
      <c r="E28" s="111" t="s">
        <v>334</v>
      </c>
      <c r="F28" s="149">
        <v>139</v>
      </c>
      <c r="G28" s="32"/>
      <c r="H28" s="36" t="str">
        <f t="shared" si="15"/>
        <v>SDC</v>
      </c>
      <c r="I28" s="32" t="s">
        <v>357</v>
      </c>
      <c r="J28" s="32"/>
      <c r="K28" s="127">
        <v>75001</v>
      </c>
      <c r="L28" s="32" t="s">
        <v>376</v>
      </c>
      <c r="M28" s="127"/>
      <c r="N28" s="127"/>
      <c r="O28" s="36" t="str">
        <f t="shared" si="1"/>
        <v>&lt;1500</v>
      </c>
      <c r="P28" s="37"/>
      <c r="Q28" s="128">
        <v>2391</v>
      </c>
      <c r="R28" s="115">
        <f t="shared" si="27"/>
        <v>0</v>
      </c>
      <c r="S28" s="170" t="str">
        <f t="shared" si="48"/>
        <v>SDCV</v>
      </c>
      <c r="T28" s="170" t="str">
        <f t="shared" si="49"/>
        <v>0</v>
      </c>
      <c r="U28" s="77">
        <f t="shared" si="16"/>
        <v>0</v>
      </c>
      <c r="V28" s="77">
        <f t="shared" si="4"/>
        <v>0</v>
      </c>
      <c r="W28" s="77">
        <f t="shared" si="5"/>
        <v>2391</v>
      </c>
      <c r="X28" s="32"/>
      <c r="Y28" s="127">
        <v>1</v>
      </c>
      <c r="Z28" s="127">
        <v>1</v>
      </c>
      <c r="AA28" s="127">
        <v>7</v>
      </c>
      <c r="AB28" s="32"/>
      <c r="AC28" s="104" t="str">
        <f t="shared" si="6"/>
        <v>NON</v>
      </c>
      <c r="AD28" s="106"/>
      <c r="AE28" s="38" t="s">
        <v>444</v>
      </c>
      <c r="AF28" s="36" t="s">
        <v>64</v>
      </c>
      <c r="AG28" s="32" t="s">
        <v>445</v>
      </c>
      <c r="AH28" s="32"/>
      <c r="AI28" s="127">
        <v>69574</v>
      </c>
      <c r="AJ28" s="32" t="s">
        <v>446</v>
      </c>
      <c r="AK28" s="150" t="s">
        <v>447</v>
      </c>
      <c r="AL28" s="157">
        <v>1</v>
      </c>
      <c r="AM28" s="157" t="s">
        <v>243</v>
      </c>
      <c r="AN28" s="162">
        <v>3658</v>
      </c>
      <c r="AO28" s="75">
        <f t="shared" si="28"/>
        <v>1</v>
      </c>
      <c r="AP28" s="38" t="s">
        <v>444</v>
      </c>
      <c r="AQ28" s="103" t="s">
        <v>482</v>
      </c>
      <c r="AR28" s="32" t="s">
        <v>445</v>
      </c>
      <c r="AS28" s="32"/>
      <c r="AT28" s="127">
        <v>69574</v>
      </c>
      <c r="AU28" s="32" t="s">
        <v>446</v>
      </c>
      <c r="AV28" s="40" t="s">
        <v>483</v>
      </c>
      <c r="AW28" s="103">
        <v>1</v>
      </c>
      <c r="AX28" s="103" t="s">
        <v>243</v>
      </c>
      <c r="AY28" s="162">
        <v>250</v>
      </c>
      <c r="AZ28" s="38"/>
      <c r="BA28" s="32" t="s">
        <v>502</v>
      </c>
      <c r="BB28" s="35" t="str">
        <f t="shared" si="8"/>
        <v>MRI</v>
      </c>
      <c r="BC28" s="114" t="str">
        <f t="shared" si="9"/>
        <v>NON</v>
      </c>
      <c r="BD28" s="35" t="str">
        <f t="shared" si="10"/>
        <v>NON</v>
      </c>
      <c r="BE28" s="37" t="str">
        <f t="shared" si="11"/>
        <v>NON</v>
      </c>
      <c r="BF28" s="38"/>
      <c r="BG28" s="77">
        <f>IF(ISERROR(VLOOKUP(A28,'Tableaux à actualiser'!$A$2:$C$1048576,2,FALSE)),0,VLOOKUP(A28,'Tableaux à actualiser'!$A$2:$C$1048576,2,FALSE))</f>
        <v>5</v>
      </c>
      <c r="BH28" s="78">
        <f>IF(ISERROR(VLOOKUP(A28,'Tableaux à actualiser'!$A$2:$C$1048576,3,FALSE)),0,VLOOKUP(A28,'Tableaux à actualiser'!$A$2:$C$1048576,3,FALSE))</f>
        <v>15599</v>
      </c>
      <c r="BI28" s="78">
        <f t="shared" si="17"/>
        <v>3467.07</v>
      </c>
      <c r="BJ28" s="80">
        <f t="shared" si="12"/>
        <v>1.4500501882057717</v>
      </c>
      <c r="BK28" s="78">
        <f t="shared" si="40"/>
        <v>2981.6802000000002</v>
      </c>
      <c r="BL28" s="78">
        <f t="shared" ref="BL28:BN28" si="54">BK28*0.95</f>
        <v>2832.5961900000002</v>
      </c>
      <c r="BM28" s="78">
        <f t="shared" si="54"/>
        <v>2690.9663805</v>
      </c>
      <c r="BN28" s="78">
        <f t="shared" si="54"/>
        <v>2556.4180614749998</v>
      </c>
      <c r="BO28" s="78">
        <f t="shared" si="24"/>
        <v>11061.660831975001</v>
      </c>
      <c r="BP28" s="84">
        <f t="shared" si="35"/>
        <v>1.4101860685250174</v>
      </c>
      <c r="BQ28" s="79">
        <f t="shared" si="20"/>
        <v>3908</v>
      </c>
      <c r="BR28" s="132" t="s">
        <v>49</v>
      </c>
      <c r="BS28" s="138">
        <f t="shared" si="13"/>
        <v>1.6344625679631952</v>
      </c>
      <c r="BT28" s="195">
        <f>BQ28*0.93</f>
        <v>3634.44</v>
      </c>
      <c r="BU28" s="195">
        <f t="shared" si="21"/>
        <v>167.37</v>
      </c>
      <c r="BV28" s="140"/>
      <c r="BW28" s="141"/>
      <c r="BX28" s="191">
        <f t="shared" si="25"/>
        <v>3634.44</v>
      </c>
      <c r="BY28" s="81">
        <f t="shared" si="33"/>
        <v>3908</v>
      </c>
      <c r="BZ28" s="178">
        <f t="shared" si="22"/>
        <v>-273.55999999999995</v>
      </c>
      <c r="CA28" s="180" t="s">
        <v>503</v>
      </c>
      <c r="CB28" s="181"/>
      <c r="CC28" s="181"/>
      <c r="CD28" s="181"/>
      <c r="CE28" s="181"/>
    </row>
    <row r="29" spans="1:83" ht="75" x14ac:dyDescent="0.25">
      <c r="A29" s="20">
        <f t="shared" si="14"/>
        <v>23</v>
      </c>
      <c r="B29" s="107" t="str">
        <f>IF(A29&lt;&gt;"",'EDC - PARAMETRAGE'!$A$3,"")</f>
        <v>GROUPE DEBAYLE</v>
      </c>
      <c r="C29" s="119">
        <f>IF(A29&lt;&gt;"",'EDC - PARAMETRAGE'!$A$6,"")</f>
        <v>42562</v>
      </c>
      <c r="D29" s="123" t="s">
        <v>316</v>
      </c>
      <c r="E29" s="111" t="s">
        <v>334</v>
      </c>
      <c r="F29" s="149">
        <v>140</v>
      </c>
      <c r="G29" s="32"/>
      <c r="H29" s="36" t="str">
        <f t="shared" si="15"/>
        <v>SDC</v>
      </c>
      <c r="I29" s="32" t="s">
        <v>358</v>
      </c>
      <c r="J29" s="32"/>
      <c r="K29" s="127">
        <v>75018</v>
      </c>
      <c r="L29" s="32" t="s">
        <v>376</v>
      </c>
      <c r="M29" s="127"/>
      <c r="N29" s="127"/>
      <c r="O29" s="36" t="str">
        <f t="shared" si="1"/>
        <v>&lt;1500</v>
      </c>
      <c r="P29" s="37"/>
      <c r="Q29" s="128">
        <v>1316</v>
      </c>
      <c r="R29" s="115">
        <f t="shared" si="27"/>
        <v>0</v>
      </c>
      <c r="S29" s="170" t="str">
        <f t="shared" si="48"/>
        <v>SDCV</v>
      </c>
      <c r="T29" s="170" t="str">
        <f t="shared" si="49"/>
        <v>0</v>
      </c>
      <c r="U29" s="77">
        <f t="shared" si="16"/>
        <v>0</v>
      </c>
      <c r="V29" s="77">
        <f t="shared" si="4"/>
        <v>0</v>
      </c>
      <c r="W29" s="77">
        <f t="shared" si="5"/>
        <v>1316</v>
      </c>
      <c r="X29" s="32"/>
      <c r="Y29" s="127">
        <v>1</v>
      </c>
      <c r="Z29" s="127">
        <v>1</v>
      </c>
      <c r="AA29" s="127">
        <v>8</v>
      </c>
      <c r="AB29" s="32"/>
      <c r="AC29" s="104" t="str">
        <f t="shared" si="6"/>
        <v>NON</v>
      </c>
      <c r="AD29" s="106"/>
      <c r="AE29" s="38" t="s">
        <v>448</v>
      </c>
      <c r="AF29" s="36" t="s">
        <v>65</v>
      </c>
      <c r="AG29" s="32" t="s">
        <v>449</v>
      </c>
      <c r="AH29" s="32" t="s">
        <v>450</v>
      </c>
      <c r="AI29" s="127">
        <v>44002</v>
      </c>
      <c r="AJ29" s="32" t="s">
        <v>451</v>
      </c>
      <c r="AK29" s="150" t="s">
        <v>452</v>
      </c>
      <c r="AL29" s="157">
        <v>1</v>
      </c>
      <c r="AM29" s="157" t="s">
        <v>243</v>
      </c>
      <c r="AN29" s="162">
        <v>4926.18</v>
      </c>
      <c r="AO29" s="75" t="str">
        <f t="shared" si="28"/>
        <v/>
      </c>
      <c r="AP29" s="40"/>
      <c r="AQ29" s="103"/>
      <c r="AR29" s="40"/>
      <c r="AS29" s="40"/>
      <c r="AT29" s="117"/>
      <c r="AU29" s="40"/>
      <c r="AV29" s="40"/>
      <c r="AW29" s="103"/>
      <c r="AX29" s="103"/>
      <c r="AY29" s="162"/>
      <c r="AZ29" s="38"/>
      <c r="BA29" s="32"/>
      <c r="BB29" s="35" t="str">
        <f t="shared" si="8"/>
        <v>MRI</v>
      </c>
      <c r="BC29" s="114" t="str">
        <f t="shared" si="9"/>
        <v>NON</v>
      </c>
      <c r="BD29" s="35" t="str">
        <f t="shared" si="10"/>
        <v>NON</v>
      </c>
      <c r="BE29" s="37" t="str">
        <f t="shared" si="11"/>
        <v>NON</v>
      </c>
      <c r="BF29" s="38"/>
      <c r="BG29" s="77">
        <f>IF(ISERROR(VLOOKUP(A29,'Tableaux à actualiser'!$A$2:$C$1048576,2,FALSE)),0,VLOOKUP(A29,'Tableaux à actualiser'!$A$2:$C$1048576,2,FALSE))</f>
        <v>0</v>
      </c>
      <c r="BH29" s="78">
        <f>IF(ISERROR(VLOOKUP(A29,'Tableaux à actualiser'!$A$2:$C$1048576,3,FALSE)),0,VLOOKUP(A29,'Tableaux à actualiser'!$A$2:$C$1048576,3,FALSE))</f>
        <v>0</v>
      </c>
      <c r="BI29" s="78">
        <f t="shared" si="17"/>
        <v>4587.7510000000002</v>
      </c>
      <c r="BJ29" s="80">
        <f t="shared" si="12"/>
        <v>3.4861329787234046</v>
      </c>
      <c r="BK29" s="78">
        <f t="shared" si="40"/>
        <v>3945.4658600000002</v>
      </c>
      <c r="BL29" s="78">
        <f t="shared" ref="BL29:BN29" si="55">BK29*0.95</f>
        <v>3748.1925670000001</v>
      </c>
      <c r="BM29" s="78">
        <f t="shared" si="55"/>
        <v>3560.7829386499998</v>
      </c>
      <c r="BN29" s="78">
        <f t="shared" si="55"/>
        <v>3382.7437917174998</v>
      </c>
      <c r="BO29" s="78">
        <f t="shared" si="24"/>
        <v>14637.185157367499</v>
      </c>
      <c r="BP29" s="84">
        <f t="shared" si="35"/>
        <v>0</v>
      </c>
      <c r="BQ29" s="79">
        <f t="shared" si="20"/>
        <v>4926.18</v>
      </c>
      <c r="BR29" s="132"/>
      <c r="BS29" s="138">
        <f t="shared" si="13"/>
        <v>3.7432978723404258</v>
      </c>
      <c r="BT29" s="195">
        <f t="shared" si="31"/>
        <v>4679.8710000000001</v>
      </c>
      <c r="BU29" s="195">
        <f t="shared" si="21"/>
        <v>92.12</v>
      </c>
      <c r="BV29" s="140"/>
      <c r="BW29" s="141"/>
      <c r="BX29" s="191">
        <f t="shared" si="25"/>
        <v>4679.8710000000001</v>
      </c>
      <c r="BY29" s="81">
        <f t="shared" si="33"/>
        <v>4926.18</v>
      </c>
      <c r="BZ29" s="178">
        <f t="shared" si="22"/>
        <v>-246.3090000000002</v>
      </c>
      <c r="CA29" s="180" t="s">
        <v>505</v>
      </c>
      <c r="CB29" s="181"/>
      <c r="CC29" s="181"/>
      <c r="CD29" s="181"/>
      <c r="CE29" s="181"/>
    </row>
    <row r="30" spans="1:83" x14ac:dyDescent="0.25">
      <c r="A30" s="20">
        <f t="shared" si="14"/>
        <v>24</v>
      </c>
      <c r="B30" s="107" t="str">
        <f>IF(A30&lt;&gt;"",'EDC - PARAMETRAGE'!$A$3,"")</f>
        <v>GROUPE DEBAYLE</v>
      </c>
      <c r="C30" s="119">
        <f>IF(A30&lt;&gt;"",'EDC - PARAMETRAGE'!$A$6,"")</f>
        <v>42562</v>
      </c>
      <c r="D30" s="123" t="s">
        <v>317</v>
      </c>
      <c r="E30" s="111" t="s">
        <v>334</v>
      </c>
      <c r="F30" s="149">
        <v>141</v>
      </c>
      <c r="G30" s="32"/>
      <c r="H30" s="36" t="str">
        <f t="shared" si="15"/>
        <v>SDC</v>
      </c>
      <c r="I30" s="32" t="s">
        <v>359</v>
      </c>
      <c r="J30" s="32"/>
      <c r="K30" s="127">
        <v>75011</v>
      </c>
      <c r="L30" s="32" t="s">
        <v>376</v>
      </c>
      <c r="M30" s="127"/>
      <c r="N30" s="127"/>
      <c r="O30" s="36" t="str">
        <f t="shared" si="1"/>
        <v>&lt;1500</v>
      </c>
      <c r="P30" s="37"/>
      <c r="Q30" s="128">
        <v>1882</v>
      </c>
      <c r="R30" s="115">
        <f t="shared" si="27"/>
        <v>0</v>
      </c>
      <c r="S30" s="170" t="str">
        <f t="shared" si="48"/>
        <v>SDCV</v>
      </c>
      <c r="T30" s="170" t="str">
        <f t="shared" si="49"/>
        <v>0</v>
      </c>
      <c r="U30" s="77">
        <f t="shared" si="16"/>
        <v>0</v>
      </c>
      <c r="V30" s="77">
        <f t="shared" si="4"/>
        <v>0</v>
      </c>
      <c r="W30" s="77">
        <f t="shared" si="5"/>
        <v>1882</v>
      </c>
      <c r="X30" s="32"/>
      <c r="Y30" s="127">
        <v>1</v>
      </c>
      <c r="Z30" s="127">
        <v>1</v>
      </c>
      <c r="AA30" s="127">
        <v>7</v>
      </c>
      <c r="AB30" s="32"/>
      <c r="AC30" s="104" t="str">
        <f t="shared" si="6"/>
        <v>NON</v>
      </c>
      <c r="AD30" s="106"/>
      <c r="AE30" s="38" t="s">
        <v>453</v>
      </c>
      <c r="AF30" s="36" t="s">
        <v>454</v>
      </c>
      <c r="AG30" s="32" t="s">
        <v>455</v>
      </c>
      <c r="AH30" s="32" t="s">
        <v>456</v>
      </c>
      <c r="AI30" s="127">
        <v>94102</v>
      </c>
      <c r="AJ30" s="32" t="s">
        <v>457</v>
      </c>
      <c r="AK30" s="150" t="s">
        <v>458</v>
      </c>
      <c r="AL30" s="157">
        <v>1</v>
      </c>
      <c r="AM30" s="157" t="s">
        <v>243</v>
      </c>
      <c r="AN30" s="162">
        <v>3001</v>
      </c>
      <c r="AO30" s="75" t="str">
        <f t="shared" si="28"/>
        <v/>
      </c>
      <c r="AP30" s="40"/>
      <c r="AQ30" s="103"/>
      <c r="AR30" s="40"/>
      <c r="AS30" s="40"/>
      <c r="AT30" s="117"/>
      <c r="AU30" s="40"/>
      <c r="AV30" s="40"/>
      <c r="AW30" s="103"/>
      <c r="AX30" s="103"/>
      <c r="AY30" s="162"/>
      <c r="AZ30" s="38"/>
      <c r="BA30" s="32"/>
      <c r="BB30" s="35" t="str">
        <f t="shared" si="8"/>
        <v>MRI</v>
      </c>
      <c r="BC30" s="114" t="str">
        <f t="shared" si="9"/>
        <v>NON</v>
      </c>
      <c r="BD30" s="35" t="str">
        <f t="shared" si="10"/>
        <v>NON</v>
      </c>
      <c r="BE30" s="37" t="str">
        <f t="shared" si="11"/>
        <v>NON</v>
      </c>
      <c r="BF30" s="38"/>
      <c r="BG30" s="77">
        <f>IF(ISERROR(VLOOKUP(A30,'Tableaux à actualiser'!$A$2:$C$1048576,2,FALSE)),0,VLOOKUP(A30,'Tableaux à actualiser'!$A$2:$C$1048576,2,FALSE))</f>
        <v>1</v>
      </c>
      <c r="BH30" s="78">
        <f>IF(ISERROR(VLOOKUP(A30,'Tableaux à actualiser'!$A$2:$C$1048576,3,FALSE)),0,VLOOKUP(A30,'Tableaux à actualiser'!$A$2:$C$1048576,3,FALSE))</f>
        <v>2276</v>
      </c>
      <c r="BI30" s="78">
        <f t="shared" si="17"/>
        <v>2719.21</v>
      </c>
      <c r="BJ30" s="80">
        <f t="shared" si="12"/>
        <v>1.4448512221041445</v>
      </c>
      <c r="BK30" s="78">
        <f t="shared" si="40"/>
        <v>2338.5205999999998</v>
      </c>
      <c r="BL30" s="78">
        <f t="shared" ref="BL30:BN30" si="56">BK30*0.95</f>
        <v>2221.5945699999997</v>
      </c>
      <c r="BM30" s="78">
        <f t="shared" si="56"/>
        <v>2110.5148414999999</v>
      </c>
      <c r="BN30" s="78">
        <f t="shared" si="56"/>
        <v>2004.9890994249997</v>
      </c>
      <c r="BO30" s="78">
        <f t="shared" si="24"/>
        <v>8675.6191109249994</v>
      </c>
      <c r="BP30" s="84">
        <f t="shared" si="35"/>
        <v>0.2623443895933476</v>
      </c>
      <c r="BQ30" s="79">
        <f t="shared" si="20"/>
        <v>3001</v>
      </c>
      <c r="BR30" s="132" t="s">
        <v>49</v>
      </c>
      <c r="BS30" s="138">
        <f t="shared" si="13"/>
        <v>1.5945802337938364</v>
      </c>
      <c r="BT30" s="195">
        <f t="shared" si="31"/>
        <v>2850.95</v>
      </c>
      <c r="BU30" s="195">
        <f t="shared" si="21"/>
        <v>131.74</v>
      </c>
      <c r="BV30" s="140"/>
      <c r="BW30" s="141"/>
      <c r="BX30" s="191">
        <f t="shared" si="25"/>
        <v>2850.95</v>
      </c>
      <c r="BY30" s="81">
        <f t="shared" si="33"/>
        <v>3001</v>
      </c>
      <c r="BZ30" s="178">
        <f t="shared" si="22"/>
        <v>-150.05000000000018</v>
      </c>
      <c r="CA30" s="180"/>
      <c r="CB30" s="181"/>
      <c r="CC30" s="181"/>
      <c r="CD30" s="181"/>
      <c r="CE30" s="181"/>
    </row>
    <row r="31" spans="1:83" x14ac:dyDescent="0.25">
      <c r="A31" s="20">
        <f t="shared" si="14"/>
        <v>25</v>
      </c>
      <c r="B31" s="107" t="str">
        <f>IF(A31&lt;&gt;"",'EDC - PARAMETRAGE'!$A$3,"")</f>
        <v>GROUPE DEBAYLE</v>
      </c>
      <c r="C31" s="119">
        <f>IF(A31&lt;&gt;"",'EDC - PARAMETRAGE'!$A$6,"")</f>
        <v>42562</v>
      </c>
      <c r="D31" s="123" t="s">
        <v>318</v>
      </c>
      <c r="E31" s="111" t="s">
        <v>334</v>
      </c>
      <c r="F31" s="149">
        <v>142</v>
      </c>
      <c r="G31" s="32"/>
      <c r="H31" s="36" t="str">
        <f t="shared" si="15"/>
        <v>SDC</v>
      </c>
      <c r="I31" s="32" t="s">
        <v>360</v>
      </c>
      <c r="J31" s="32"/>
      <c r="K31" s="127">
        <v>75012</v>
      </c>
      <c r="L31" s="32" t="s">
        <v>376</v>
      </c>
      <c r="M31" s="127"/>
      <c r="N31" s="127">
        <v>1970</v>
      </c>
      <c r="O31" s="36" t="str">
        <f t="shared" si="1"/>
        <v>&lt;1500</v>
      </c>
      <c r="P31" s="37"/>
      <c r="Q31" s="128">
        <v>960</v>
      </c>
      <c r="R31" s="115">
        <f t="shared" si="27"/>
        <v>0</v>
      </c>
      <c r="S31" s="170" t="str">
        <f t="shared" si="48"/>
        <v>SDCV</v>
      </c>
      <c r="T31" s="170" t="str">
        <f t="shared" si="49"/>
        <v>0</v>
      </c>
      <c r="U31" s="77">
        <f t="shared" si="16"/>
        <v>0</v>
      </c>
      <c r="V31" s="77">
        <f t="shared" si="4"/>
        <v>0</v>
      </c>
      <c r="W31" s="77">
        <f t="shared" si="5"/>
        <v>960</v>
      </c>
      <c r="X31" s="32"/>
      <c r="Y31" s="127">
        <v>1</v>
      </c>
      <c r="Z31" s="127">
        <v>1</v>
      </c>
      <c r="AA31" s="127">
        <v>7</v>
      </c>
      <c r="AB31" s="32"/>
      <c r="AC31" s="104" t="str">
        <f t="shared" si="6"/>
        <v>NON</v>
      </c>
      <c r="AD31" s="106"/>
      <c r="AE31" s="38" t="s">
        <v>436</v>
      </c>
      <c r="AF31" s="36" t="s">
        <v>260</v>
      </c>
      <c r="AG31" s="32" t="s">
        <v>437</v>
      </c>
      <c r="AH31" s="32"/>
      <c r="AI31" s="127">
        <v>75008</v>
      </c>
      <c r="AJ31" s="32" t="s">
        <v>376</v>
      </c>
      <c r="AK31" s="150">
        <v>5568616704</v>
      </c>
      <c r="AL31" s="157">
        <v>1</v>
      </c>
      <c r="AM31" s="157" t="s">
        <v>252</v>
      </c>
      <c r="AN31" s="162">
        <v>2400</v>
      </c>
      <c r="AO31" s="75" t="str">
        <f t="shared" si="28"/>
        <v/>
      </c>
      <c r="AP31" s="40"/>
      <c r="AQ31" s="103"/>
      <c r="AR31" s="40"/>
      <c r="AS31" s="40"/>
      <c r="AT31" s="117"/>
      <c r="AU31" s="40"/>
      <c r="AV31" s="40"/>
      <c r="AW31" s="103"/>
      <c r="AX31" s="103"/>
      <c r="AY31" s="162"/>
      <c r="AZ31" s="38"/>
      <c r="BA31" s="32"/>
      <c r="BB31" s="35" t="str">
        <f t="shared" si="8"/>
        <v>MRI</v>
      </c>
      <c r="BC31" s="114" t="str">
        <f t="shared" si="9"/>
        <v>NON</v>
      </c>
      <c r="BD31" s="35" t="str">
        <f t="shared" si="10"/>
        <v>NON</v>
      </c>
      <c r="BE31" s="37" t="str">
        <f t="shared" si="11"/>
        <v>NON</v>
      </c>
      <c r="BF31" s="38"/>
      <c r="BG31" s="77">
        <f>IF(ISERROR(VLOOKUP(A31,'Tableaux à actualiser'!$A$2:$C$1048576,2,FALSE)),0,VLOOKUP(A31,'Tableaux à actualiser'!$A$2:$C$1048576,2,FALSE))</f>
        <v>1</v>
      </c>
      <c r="BH31" s="78">
        <f>IF(ISERROR(VLOOKUP(A31,'Tableaux à actualiser'!$A$2:$C$1048576,3,FALSE)),0,VLOOKUP(A31,'Tableaux à actualiser'!$A$2:$C$1048576,3,FALSE))</f>
        <v>158</v>
      </c>
      <c r="BI31" s="78">
        <f t="shared" si="17"/>
        <v>2332.8000000000002</v>
      </c>
      <c r="BJ31" s="80">
        <f t="shared" si="12"/>
        <v>2.4300000000000002</v>
      </c>
      <c r="BK31" s="78">
        <f t="shared" si="40"/>
        <v>2006.2080000000001</v>
      </c>
      <c r="BL31" s="78">
        <f t="shared" ref="BL31:BN31" si="57">BK31*0.95</f>
        <v>1905.8976</v>
      </c>
      <c r="BM31" s="78">
        <f t="shared" si="57"/>
        <v>1810.6027199999999</v>
      </c>
      <c r="BN31" s="78">
        <f t="shared" si="57"/>
        <v>1720.0725839999998</v>
      </c>
      <c r="BO31" s="78">
        <f t="shared" si="24"/>
        <v>7442.7809039999993</v>
      </c>
      <c r="BP31" s="84">
        <f t="shared" si="35"/>
        <v>2.1228624359355457E-2</v>
      </c>
      <c r="BQ31" s="79">
        <f t="shared" si="20"/>
        <v>2400</v>
      </c>
      <c r="BR31" s="132" t="s">
        <v>49</v>
      </c>
      <c r="BS31" s="138">
        <f t="shared" si="13"/>
        <v>2.5</v>
      </c>
      <c r="BT31" s="195">
        <f>BQ31*1</f>
        <v>2400</v>
      </c>
      <c r="BU31" s="195">
        <f t="shared" si="21"/>
        <v>67.2</v>
      </c>
      <c r="BV31" s="140">
        <v>0</v>
      </c>
      <c r="BW31" s="141"/>
      <c r="BX31" s="191">
        <f t="shared" si="25"/>
        <v>2400</v>
      </c>
      <c r="BY31" s="81">
        <f t="shared" si="33"/>
        <v>2400</v>
      </c>
      <c r="BZ31" s="178">
        <f t="shared" si="22"/>
        <v>0</v>
      </c>
      <c r="CA31" s="180" t="s">
        <v>539</v>
      </c>
      <c r="CB31" s="181"/>
      <c r="CC31" s="183">
        <v>10111516</v>
      </c>
      <c r="CD31" s="183">
        <v>9688189</v>
      </c>
      <c r="CE31" s="184">
        <v>42644</v>
      </c>
    </row>
    <row r="32" spans="1:83" x14ac:dyDescent="0.25">
      <c r="A32" s="20">
        <f t="shared" si="14"/>
        <v>26</v>
      </c>
      <c r="B32" s="107" t="str">
        <f>IF(A32&lt;&gt;"",'EDC - PARAMETRAGE'!$A$3,"")</f>
        <v>GROUPE DEBAYLE</v>
      </c>
      <c r="C32" s="119">
        <f>IF(A32&lt;&gt;"",'EDC - PARAMETRAGE'!$A$6,"")</f>
        <v>42562</v>
      </c>
      <c r="D32" s="123" t="s">
        <v>319</v>
      </c>
      <c r="E32" s="111" t="s">
        <v>334</v>
      </c>
      <c r="F32" s="149">
        <v>143</v>
      </c>
      <c r="G32" s="32"/>
      <c r="H32" s="36" t="str">
        <f t="shared" si="15"/>
        <v>SDC</v>
      </c>
      <c r="I32" s="32" t="s">
        <v>361</v>
      </c>
      <c r="J32" s="32"/>
      <c r="K32" s="127">
        <v>75009</v>
      </c>
      <c r="L32" s="32" t="s">
        <v>376</v>
      </c>
      <c r="M32" s="127"/>
      <c r="N32" s="127"/>
      <c r="O32" s="36" t="str">
        <f t="shared" si="1"/>
        <v>&lt;1500</v>
      </c>
      <c r="P32" s="37"/>
      <c r="Q32" s="128">
        <v>2100</v>
      </c>
      <c r="R32" s="115">
        <f t="shared" si="27"/>
        <v>0</v>
      </c>
      <c r="S32" s="170" t="str">
        <f t="shared" si="48"/>
        <v>SDCV</v>
      </c>
      <c r="T32" s="170" t="str">
        <f t="shared" si="49"/>
        <v>0</v>
      </c>
      <c r="U32" s="77">
        <f t="shared" si="16"/>
        <v>0</v>
      </c>
      <c r="V32" s="77">
        <f t="shared" si="4"/>
        <v>0</v>
      </c>
      <c r="W32" s="77">
        <f t="shared" si="5"/>
        <v>2100</v>
      </c>
      <c r="X32" s="32"/>
      <c r="Y32" s="127">
        <v>1</v>
      </c>
      <c r="Z32" s="127">
        <v>1</v>
      </c>
      <c r="AA32" s="127">
        <v>7</v>
      </c>
      <c r="AB32" s="32"/>
      <c r="AC32" s="104" t="str">
        <f t="shared" si="6"/>
        <v>NON</v>
      </c>
      <c r="AD32" s="106"/>
      <c r="AE32" s="38" t="s">
        <v>413</v>
      </c>
      <c r="AF32" s="36" t="s">
        <v>258</v>
      </c>
      <c r="AG32" s="32" t="s">
        <v>414</v>
      </c>
      <c r="AH32" s="32"/>
      <c r="AI32" s="127">
        <v>92200</v>
      </c>
      <c r="AJ32" s="32" t="s">
        <v>415</v>
      </c>
      <c r="AK32" s="150" t="s">
        <v>459</v>
      </c>
      <c r="AL32" s="157">
        <v>1</v>
      </c>
      <c r="AM32" s="157" t="s">
        <v>249</v>
      </c>
      <c r="AN32" s="162">
        <v>3460</v>
      </c>
      <c r="AO32" s="75" t="str">
        <f t="shared" si="28"/>
        <v/>
      </c>
      <c r="AP32" s="40"/>
      <c r="AQ32" s="103"/>
      <c r="AR32" s="40"/>
      <c r="AS32" s="40"/>
      <c r="AT32" s="117"/>
      <c r="AU32" s="40"/>
      <c r="AV32" s="40"/>
      <c r="AW32" s="103"/>
      <c r="AX32" s="103"/>
      <c r="AY32" s="162"/>
      <c r="AZ32" s="38"/>
      <c r="BA32" s="32"/>
      <c r="BB32" s="35" t="str">
        <f t="shared" si="8"/>
        <v>MRI</v>
      </c>
      <c r="BC32" s="114" t="str">
        <f t="shared" si="9"/>
        <v>NON</v>
      </c>
      <c r="BD32" s="35" t="str">
        <f t="shared" si="10"/>
        <v>NON</v>
      </c>
      <c r="BE32" s="37" t="str">
        <f t="shared" si="11"/>
        <v>NON</v>
      </c>
      <c r="BF32" s="38"/>
      <c r="BG32" s="77">
        <f>IF(ISERROR(VLOOKUP(A32,'Tableaux à actualiser'!$A$2:$C$1048576,2,FALSE)),0,VLOOKUP(A32,'Tableaux à actualiser'!$A$2:$C$1048576,2,FALSE))</f>
        <v>1</v>
      </c>
      <c r="BH32" s="78">
        <f>IF(ISERROR(VLOOKUP(A32,'Tableaux à actualiser'!$A$2:$C$1048576,3,FALSE)),0,VLOOKUP(A32,'Tableaux à actualiser'!$A$2:$C$1048576,3,FALSE))</f>
        <v>1600</v>
      </c>
      <c r="BI32" s="78">
        <f t="shared" si="17"/>
        <v>3140</v>
      </c>
      <c r="BJ32" s="80">
        <f t="shared" si="12"/>
        <v>1.4952380952380953</v>
      </c>
      <c r="BK32" s="78">
        <f t="shared" si="40"/>
        <v>2700.4</v>
      </c>
      <c r="BL32" s="78">
        <f t="shared" ref="BL32:BN32" si="58">BK32*0.95</f>
        <v>2565.38</v>
      </c>
      <c r="BM32" s="78">
        <f t="shared" si="58"/>
        <v>2437.1109999999999</v>
      </c>
      <c r="BN32" s="78">
        <f t="shared" si="58"/>
        <v>2315.2554499999997</v>
      </c>
      <c r="BO32" s="78">
        <f t="shared" si="24"/>
        <v>10018.14645</v>
      </c>
      <c r="BP32" s="84">
        <f t="shared" si="35"/>
        <v>0.15971018271548626</v>
      </c>
      <c r="BQ32" s="79">
        <f t="shared" si="20"/>
        <v>3460</v>
      </c>
      <c r="BR32" s="132" t="s">
        <v>49</v>
      </c>
      <c r="BS32" s="138">
        <f t="shared" si="13"/>
        <v>1.6476190476190475</v>
      </c>
      <c r="BT32" s="195">
        <f t="shared" si="31"/>
        <v>3287</v>
      </c>
      <c r="BU32" s="195">
        <f t="shared" si="21"/>
        <v>147</v>
      </c>
      <c r="BV32" s="140"/>
      <c r="BW32" s="141"/>
      <c r="BX32" s="191">
        <f t="shared" si="25"/>
        <v>3287</v>
      </c>
      <c r="BY32" s="81">
        <f t="shared" si="33"/>
        <v>3460</v>
      </c>
      <c r="BZ32" s="178">
        <f t="shared" si="22"/>
        <v>-173</v>
      </c>
      <c r="CA32" s="180"/>
      <c r="CB32" s="181"/>
      <c r="CC32" s="181"/>
      <c r="CD32" s="181"/>
      <c r="CE32" s="181"/>
    </row>
    <row r="33" spans="1:83" x14ac:dyDescent="0.25">
      <c r="A33" s="20">
        <f t="shared" si="14"/>
        <v>27</v>
      </c>
      <c r="B33" s="107" t="str">
        <f>IF(A33&lt;&gt;"",'EDC - PARAMETRAGE'!$A$3,"")</f>
        <v>GROUPE DEBAYLE</v>
      </c>
      <c r="C33" s="119">
        <f>IF(A33&lt;&gt;"",'EDC - PARAMETRAGE'!$A$6,"")</f>
        <v>42562</v>
      </c>
      <c r="D33" s="123" t="s">
        <v>320</v>
      </c>
      <c r="E33" s="111" t="s">
        <v>334</v>
      </c>
      <c r="F33" s="149">
        <v>144</v>
      </c>
      <c r="G33" s="32"/>
      <c r="H33" s="36" t="str">
        <f t="shared" si="15"/>
        <v>SDC</v>
      </c>
      <c r="I33" s="32" t="s">
        <v>362</v>
      </c>
      <c r="J33" s="32"/>
      <c r="K33" s="127">
        <v>75004</v>
      </c>
      <c r="L33" s="32" t="s">
        <v>376</v>
      </c>
      <c r="M33" s="127"/>
      <c r="N33" s="127"/>
      <c r="O33" s="36" t="str">
        <f t="shared" si="1"/>
        <v>&lt;1500</v>
      </c>
      <c r="P33" s="37"/>
      <c r="Q33" s="128">
        <v>800</v>
      </c>
      <c r="R33" s="115">
        <f t="shared" si="27"/>
        <v>0</v>
      </c>
      <c r="S33" s="170" t="str">
        <f t="shared" si="48"/>
        <v>SDCV</v>
      </c>
      <c r="T33" s="170" t="str">
        <f t="shared" si="49"/>
        <v>0</v>
      </c>
      <c r="U33" s="77">
        <f t="shared" si="16"/>
        <v>0</v>
      </c>
      <c r="V33" s="77">
        <f t="shared" si="4"/>
        <v>0</v>
      </c>
      <c r="W33" s="77">
        <f t="shared" si="5"/>
        <v>800</v>
      </c>
      <c r="X33" s="32"/>
      <c r="Y33" s="127">
        <v>1</v>
      </c>
      <c r="Z33" s="127">
        <v>1</v>
      </c>
      <c r="AA33" s="127">
        <v>6</v>
      </c>
      <c r="AB33" s="32"/>
      <c r="AC33" s="104" t="str">
        <f t="shared" si="6"/>
        <v>NON</v>
      </c>
      <c r="AD33" s="106"/>
      <c r="AE33" s="38" t="s">
        <v>460</v>
      </c>
      <c r="AF33" s="36" t="s">
        <v>260</v>
      </c>
      <c r="AG33" s="32" t="s">
        <v>461</v>
      </c>
      <c r="AH33" s="32"/>
      <c r="AI33" s="127">
        <v>75008</v>
      </c>
      <c r="AJ33" s="32" t="s">
        <v>376</v>
      </c>
      <c r="AK33" s="150">
        <v>6172872804</v>
      </c>
      <c r="AL33" s="157">
        <v>1</v>
      </c>
      <c r="AM33" s="157" t="s">
        <v>243</v>
      </c>
      <c r="AN33" s="162">
        <v>3878</v>
      </c>
      <c r="AO33" s="75" t="str">
        <f t="shared" si="28"/>
        <v/>
      </c>
      <c r="AP33" s="40"/>
      <c r="AQ33" s="103"/>
      <c r="AR33" s="40"/>
      <c r="AS33" s="40"/>
      <c r="AT33" s="117"/>
      <c r="AU33" s="40"/>
      <c r="AV33" s="40"/>
      <c r="AW33" s="103"/>
      <c r="AX33" s="103"/>
      <c r="AY33" s="162"/>
      <c r="AZ33" s="38"/>
      <c r="BA33" s="32" t="s">
        <v>490</v>
      </c>
      <c r="BB33" s="35" t="str">
        <f t="shared" si="8"/>
        <v>MRI</v>
      </c>
      <c r="BC33" s="114" t="str">
        <f t="shared" si="9"/>
        <v>NON</v>
      </c>
      <c r="BD33" s="35" t="str">
        <f t="shared" si="10"/>
        <v>NON</v>
      </c>
      <c r="BE33" s="37" t="str">
        <f t="shared" si="11"/>
        <v>NON</v>
      </c>
      <c r="BF33" s="38"/>
      <c r="BG33" s="77">
        <f>IF(ISERROR(VLOOKUP(A33,'Tableaux à actualiser'!$A$2:$C$1048576,2,FALSE)),0,VLOOKUP(A33,'Tableaux à actualiser'!$A$2:$C$1048576,2,FALSE))</f>
        <v>0</v>
      </c>
      <c r="BH33" s="78">
        <f>IF(ISERROR(VLOOKUP(A33,'Tableaux à actualiser'!$A$2:$C$1048576,3,FALSE)),0,VLOOKUP(A33,'Tableaux à actualiser'!$A$2:$C$1048576,3,FALSE))</f>
        <v>0</v>
      </c>
      <c r="BI33" s="78">
        <f t="shared" si="17"/>
        <v>3628.1</v>
      </c>
      <c r="BJ33" s="80">
        <f t="shared" si="12"/>
        <v>4.5351249999999999</v>
      </c>
      <c r="BK33" s="78">
        <f t="shared" si="40"/>
        <v>3120.1659999999997</v>
      </c>
      <c r="BL33" s="78">
        <f t="shared" ref="BL33:BN33" si="59">BK33*0.95</f>
        <v>2964.1576999999997</v>
      </c>
      <c r="BM33" s="78">
        <f t="shared" si="59"/>
        <v>2815.9498149999995</v>
      </c>
      <c r="BN33" s="78">
        <f t="shared" si="59"/>
        <v>2675.1523242499993</v>
      </c>
      <c r="BO33" s="78">
        <f t="shared" si="24"/>
        <v>11575.425839249998</v>
      </c>
      <c r="BP33" s="84">
        <f t="shared" si="35"/>
        <v>0</v>
      </c>
      <c r="BQ33" s="79">
        <f t="shared" si="20"/>
        <v>3878</v>
      </c>
      <c r="BR33" s="132"/>
      <c r="BS33" s="138">
        <f t="shared" si="13"/>
        <v>4.8475000000000001</v>
      </c>
      <c r="BT33" s="195">
        <f t="shared" si="31"/>
        <v>3684.1</v>
      </c>
      <c r="BU33" s="195">
        <f t="shared" si="21"/>
        <v>56.000000000000007</v>
      </c>
      <c r="BV33" s="140"/>
      <c r="BW33" s="141"/>
      <c r="BX33" s="191">
        <f t="shared" si="25"/>
        <v>3684.1</v>
      </c>
      <c r="BY33" s="81">
        <f t="shared" si="33"/>
        <v>3878</v>
      </c>
      <c r="BZ33" s="178">
        <f t="shared" si="22"/>
        <v>-193.90000000000009</v>
      </c>
      <c r="CA33" s="180"/>
      <c r="CB33" s="181"/>
      <c r="CC33" s="181"/>
      <c r="CD33" s="181"/>
      <c r="CE33" s="181"/>
    </row>
    <row r="34" spans="1:83" x14ac:dyDescent="0.25">
      <c r="A34" s="20">
        <f t="shared" si="14"/>
        <v>28</v>
      </c>
      <c r="B34" s="107" t="str">
        <f>IF(A34&lt;&gt;"",'EDC - PARAMETRAGE'!$A$3,"")</f>
        <v>GROUPE DEBAYLE</v>
      </c>
      <c r="C34" s="119">
        <f>IF(A34&lt;&gt;"",'EDC - PARAMETRAGE'!$A$6,"")</f>
        <v>42562</v>
      </c>
      <c r="D34" s="123" t="s">
        <v>321</v>
      </c>
      <c r="E34" s="111" t="s">
        <v>334</v>
      </c>
      <c r="F34" s="149">
        <v>145</v>
      </c>
      <c r="G34" s="32"/>
      <c r="H34" s="36" t="str">
        <f t="shared" si="15"/>
        <v>SDC</v>
      </c>
      <c r="I34" s="32" t="s">
        <v>363</v>
      </c>
      <c r="J34" s="32"/>
      <c r="K34" s="127">
        <v>75017</v>
      </c>
      <c r="L34" s="32" t="s">
        <v>376</v>
      </c>
      <c r="M34" s="127"/>
      <c r="N34" s="127"/>
      <c r="O34" s="36" t="str">
        <f t="shared" si="1"/>
        <v>&lt;1500</v>
      </c>
      <c r="P34" s="37"/>
      <c r="Q34" s="128">
        <v>2000</v>
      </c>
      <c r="R34" s="115">
        <f t="shared" si="27"/>
        <v>0</v>
      </c>
      <c r="S34" s="170" t="str">
        <f t="shared" si="48"/>
        <v>SDCV</v>
      </c>
      <c r="T34" s="170" t="str">
        <f t="shared" si="49"/>
        <v>0</v>
      </c>
      <c r="U34" s="77">
        <f t="shared" si="16"/>
        <v>0</v>
      </c>
      <c r="V34" s="77">
        <f t="shared" si="4"/>
        <v>0</v>
      </c>
      <c r="W34" s="77">
        <f t="shared" si="5"/>
        <v>2000</v>
      </c>
      <c r="X34" s="32"/>
      <c r="Y34" s="127">
        <v>1</v>
      </c>
      <c r="Z34" s="127">
        <v>1</v>
      </c>
      <c r="AA34" s="127">
        <v>6</v>
      </c>
      <c r="AB34" s="32"/>
      <c r="AC34" s="104" t="str">
        <f t="shared" si="6"/>
        <v>NON</v>
      </c>
      <c r="AD34" s="106"/>
      <c r="AE34" s="38" t="s">
        <v>462</v>
      </c>
      <c r="AF34" s="36" t="s">
        <v>258</v>
      </c>
      <c r="AG34" s="32" t="s">
        <v>463</v>
      </c>
      <c r="AH34" s="32"/>
      <c r="AI34" s="127">
        <v>92521</v>
      </c>
      <c r="AJ34" s="32" t="s">
        <v>464</v>
      </c>
      <c r="AK34" s="150" t="s">
        <v>465</v>
      </c>
      <c r="AL34" s="157">
        <v>1</v>
      </c>
      <c r="AM34" s="157" t="s">
        <v>243</v>
      </c>
      <c r="AN34" s="162">
        <v>2535.0300000000002</v>
      </c>
      <c r="AO34" s="75" t="str">
        <f t="shared" si="28"/>
        <v/>
      </c>
      <c r="AP34" s="40"/>
      <c r="AQ34" s="103"/>
      <c r="AR34" s="40"/>
      <c r="AS34" s="40"/>
      <c r="AT34" s="117"/>
      <c r="AU34" s="40"/>
      <c r="AV34" s="40"/>
      <c r="AW34" s="103"/>
      <c r="AX34" s="103"/>
      <c r="AY34" s="162"/>
      <c r="AZ34" s="38"/>
      <c r="BA34" s="32"/>
      <c r="BB34" s="35" t="str">
        <f t="shared" si="8"/>
        <v>MRI</v>
      </c>
      <c r="BC34" s="114" t="str">
        <f t="shared" si="9"/>
        <v>NON</v>
      </c>
      <c r="BD34" s="35" t="str">
        <f t="shared" si="10"/>
        <v>NON</v>
      </c>
      <c r="BE34" s="37" t="str">
        <f t="shared" si="11"/>
        <v>NON</v>
      </c>
      <c r="BF34" s="38"/>
      <c r="BG34" s="77">
        <f>IF(ISERROR(VLOOKUP(A34,'Tableaux à actualiser'!$A$2:$C$1048576,2,FALSE)),0,VLOOKUP(A34,'Tableaux à actualiser'!$A$2:$C$1048576,2,FALSE))</f>
        <v>1</v>
      </c>
      <c r="BH34" s="78">
        <f>IF(ISERROR(VLOOKUP(A34,'Tableaux à actualiser'!$A$2:$C$1048576,3,FALSE)),0,VLOOKUP(A34,'Tableaux à actualiser'!$A$2:$C$1048576,3,FALSE))</f>
        <v>0</v>
      </c>
      <c r="BI34" s="78">
        <f t="shared" si="17"/>
        <v>2141.527</v>
      </c>
      <c r="BJ34" s="80">
        <f t="shared" si="12"/>
        <v>1.0707635</v>
      </c>
      <c r="BK34" s="78">
        <f t="shared" si="40"/>
        <v>1841.7132200000001</v>
      </c>
      <c r="BL34" s="78">
        <f t="shared" ref="BL34:BN34" si="60">BK34*0.95</f>
        <v>1749.627559</v>
      </c>
      <c r="BM34" s="78">
        <f t="shared" si="60"/>
        <v>1662.14618105</v>
      </c>
      <c r="BN34" s="78">
        <f t="shared" si="60"/>
        <v>1579.0388719974999</v>
      </c>
      <c r="BO34" s="78">
        <f t="shared" si="24"/>
        <v>6832.5258320475004</v>
      </c>
      <c r="BP34" s="84">
        <f t="shared" si="35"/>
        <v>0</v>
      </c>
      <c r="BQ34" s="79">
        <f t="shared" si="20"/>
        <v>2535.0300000000002</v>
      </c>
      <c r="BR34" s="132" t="s">
        <v>49</v>
      </c>
      <c r="BS34" s="138">
        <f t="shared" si="13"/>
        <v>1.2675150000000002</v>
      </c>
      <c r="BT34" s="195">
        <f>BQ34*0.9</f>
        <v>2281.527</v>
      </c>
      <c r="BU34" s="195">
        <f t="shared" si="21"/>
        <v>140</v>
      </c>
      <c r="BV34" s="140"/>
      <c r="BW34" s="141"/>
      <c r="BX34" s="191">
        <f t="shared" si="25"/>
        <v>2281.527</v>
      </c>
      <c r="BY34" s="81">
        <f t="shared" si="33"/>
        <v>2535.0300000000002</v>
      </c>
      <c r="BZ34" s="178">
        <f t="shared" si="22"/>
        <v>-253.50300000000016</v>
      </c>
      <c r="CA34" s="180"/>
      <c r="CB34" s="181"/>
      <c r="CC34" s="186">
        <v>42668</v>
      </c>
      <c r="CD34" s="186">
        <v>42736</v>
      </c>
      <c r="CE34" s="186">
        <v>42736</v>
      </c>
    </row>
    <row r="35" spans="1:83" x14ac:dyDescent="0.25">
      <c r="A35" s="20">
        <f t="shared" si="14"/>
        <v>29</v>
      </c>
      <c r="B35" s="107" t="str">
        <f>IF(A35&lt;&gt;"",'EDC - PARAMETRAGE'!$A$3,"")</f>
        <v>GROUPE DEBAYLE</v>
      </c>
      <c r="C35" s="119">
        <f>IF(A35&lt;&gt;"",'EDC - PARAMETRAGE'!$A$6,"")</f>
        <v>42562</v>
      </c>
      <c r="D35" s="123" t="s">
        <v>322</v>
      </c>
      <c r="E35" s="111" t="s">
        <v>334</v>
      </c>
      <c r="F35" s="149">
        <v>146</v>
      </c>
      <c r="G35" s="32"/>
      <c r="H35" s="36" t="str">
        <f t="shared" si="15"/>
        <v>SDC</v>
      </c>
      <c r="I35" s="32" t="s">
        <v>364</v>
      </c>
      <c r="J35" s="32"/>
      <c r="K35" s="127">
        <v>75011</v>
      </c>
      <c r="L35" s="32" t="s">
        <v>376</v>
      </c>
      <c r="M35" s="127"/>
      <c r="N35" s="127"/>
      <c r="O35" s="36" t="str">
        <f t="shared" si="1"/>
        <v>&lt;1500</v>
      </c>
      <c r="P35" s="37"/>
      <c r="Q35" s="128">
        <v>165</v>
      </c>
      <c r="R35" s="115">
        <f t="shared" si="27"/>
        <v>0</v>
      </c>
      <c r="S35" s="170" t="str">
        <f t="shared" si="48"/>
        <v>SDCV</v>
      </c>
      <c r="T35" s="170" t="str">
        <f t="shared" si="49"/>
        <v>0</v>
      </c>
      <c r="U35" s="77">
        <f t="shared" si="16"/>
        <v>0</v>
      </c>
      <c r="V35" s="77">
        <f t="shared" si="4"/>
        <v>0</v>
      </c>
      <c r="W35" s="77">
        <f t="shared" si="5"/>
        <v>165</v>
      </c>
      <c r="X35" s="32"/>
      <c r="Y35" s="127">
        <v>1</v>
      </c>
      <c r="Z35" s="127">
        <v>1</v>
      </c>
      <c r="AA35" s="127">
        <v>6</v>
      </c>
      <c r="AB35" s="32"/>
      <c r="AC35" s="104" t="str">
        <f t="shared" si="6"/>
        <v>NON</v>
      </c>
      <c r="AD35" s="106"/>
      <c r="AE35" s="38" t="s">
        <v>448</v>
      </c>
      <c r="AF35" s="36" t="s">
        <v>65</v>
      </c>
      <c r="AG35" s="32" t="s">
        <v>449</v>
      </c>
      <c r="AH35" s="32" t="s">
        <v>450</v>
      </c>
      <c r="AI35" s="127">
        <v>44002</v>
      </c>
      <c r="AJ35" s="32" t="s">
        <v>451</v>
      </c>
      <c r="AK35" s="150" t="s">
        <v>466</v>
      </c>
      <c r="AL35" s="157">
        <v>1</v>
      </c>
      <c r="AM35" s="157" t="s">
        <v>252</v>
      </c>
      <c r="AN35" s="162">
        <v>2961.22</v>
      </c>
      <c r="AO35" s="75" t="str">
        <f t="shared" si="28"/>
        <v/>
      </c>
      <c r="AP35" s="40"/>
      <c r="AQ35" s="103"/>
      <c r="AR35" s="40"/>
      <c r="AS35" s="40"/>
      <c r="AT35" s="117"/>
      <c r="AU35" s="40"/>
      <c r="AV35" s="40"/>
      <c r="AW35" s="103"/>
      <c r="AX35" s="103"/>
      <c r="AY35" s="162"/>
      <c r="AZ35" s="38"/>
      <c r="BA35" s="32" t="s">
        <v>522</v>
      </c>
      <c r="BB35" s="35" t="str">
        <f t="shared" si="8"/>
        <v>MRI</v>
      </c>
      <c r="BC35" s="114" t="str">
        <f t="shared" si="9"/>
        <v>NON</v>
      </c>
      <c r="BD35" s="35" t="str">
        <f t="shared" si="10"/>
        <v>NON</v>
      </c>
      <c r="BE35" s="37" t="str">
        <f t="shared" si="11"/>
        <v>NON</v>
      </c>
      <c r="BF35" s="38"/>
      <c r="BG35" s="77">
        <f>IF(ISERROR(VLOOKUP(A35,'Tableaux à actualiser'!$A$2:$C$1048576,2,FALSE)),0,VLOOKUP(A35,'Tableaux à actualiser'!$A$2:$C$1048576,2,FALSE))</f>
        <v>0</v>
      </c>
      <c r="BH35" s="78">
        <f>IF(ISERROR(VLOOKUP(A35,'Tableaux à actualiser'!$A$2:$C$1048576,3,FALSE)),0,VLOOKUP(A35,'Tableaux à actualiser'!$A$2:$C$1048576,3,FALSE))</f>
        <v>0</v>
      </c>
      <c r="BI35" s="78">
        <f t="shared" si="17"/>
        <v>2801.6089999999995</v>
      </c>
      <c r="BJ35" s="80">
        <f t="shared" si="12"/>
        <v>16.979448484848483</v>
      </c>
      <c r="BK35" s="78">
        <f t="shared" si="40"/>
        <v>2409.3837399999993</v>
      </c>
      <c r="BL35" s="78">
        <f t="shared" ref="BL35:BN35" si="61">BK35*0.95</f>
        <v>2288.9145529999992</v>
      </c>
      <c r="BM35" s="78">
        <f t="shared" si="61"/>
        <v>2174.468825349999</v>
      </c>
      <c r="BN35" s="78">
        <f t="shared" si="61"/>
        <v>2065.7453840824987</v>
      </c>
      <c r="BO35" s="78">
        <f t="shared" si="24"/>
        <v>8938.5125024324952</v>
      </c>
      <c r="BP35" s="84">
        <f t="shared" si="35"/>
        <v>0</v>
      </c>
      <c r="BQ35" s="79">
        <f t="shared" si="20"/>
        <v>2961.22</v>
      </c>
      <c r="BR35" s="132"/>
      <c r="BS35" s="138">
        <f t="shared" si="13"/>
        <v>17.946787878787877</v>
      </c>
      <c r="BT35" s="195">
        <f t="shared" si="31"/>
        <v>2813.1589999999997</v>
      </c>
      <c r="BU35" s="195">
        <f t="shared" si="21"/>
        <v>11.55</v>
      </c>
      <c r="BV35" s="140"/>
      <c r="BW35" s="141"/>
      <c r="BX35" s="191">
        <f t="shared" si="25"/>
        <v>2813.1589999999997</v>
      </c>
      <c r="BY35" s="81">
        <f t="shared" si="33"/>
        <v>2961.22</v>
      </c>
      <c r="BZ35" s="178">
        <f t="shared" si="22"/>
        <v>-148.06100000000015</v>
      </c>
      <c r="CA35" s="180"/>
      <c r="CB35" s="181"/>
      <c r="CC35" s="181"/>
      <c r="CD35" s="181"/>
      <c r="CE35" s="181"/>
    </row>
    <row r="36" spans="1:83" x14ac:dyDescent="0.25">
      <c r="A36" s="20">
        <f t="shared" si="14"/>
        <v>30</v>
      </c>
      <c r="B36" s="107" t="str">
        <f>IF(A36&lt;&gt;"",'EDC - PARAMETRAGE'!$A$3,"")</f>
        <v>GROUPE DEBAYLE</v>
      </c>
      <c r="C36" s="119">
        <f>IF(A36&lt;&gt;"",'EDC - PARAMETRAGE'!$A$6,"")</f>
        <v>42562</v>
      </c>
      <c r="D36" s="123" t="s">
        <v>323</v>
      </c>
      <c r="E36" s="111" t="s">
        <v>334</v>
      </c>
      <c r="F36" s="149">
        <v>147</v>
      </c>
      <c r="G36" s="32"/>
      <c r="H36" s="36" t="str">
        <f t="shared" si="15"/>
        <v>SDC</v>
      </c>
      <c r="I36" s="152" t="s">
        <v>365</v>
      </c>
      <c r="J36" s="32"/>
      <c r="K36" s="127">
        <v>75018</v>
      </c>
      <c r="L36" s="32" t="s">
        <v>376</v>
      </c>
      <c r="M36" s="127"/>
      <c r="N36" s="127"/>
      <c r="O36" s="36" t="str">
        <f t="shared" si="1"/>
        <v>&lt;1500</v>
      </c>
      <c r="P36" s="37"/>
      <c r="Q36" s="128">
        <v>386</v>
      </c>
      <c r="R36" s="115">
        <f t="shared" si="27"/>
        <v>0</v>
      </c>
      <c r="S36" s="170" t="str">
        <f t="shared" si="48"/>
        <v>SDCV</v>
      </c>
      <c r="T36" s="170" t="str">
        <f t="shared" si="49"/>
        <v>0</v>
      </c>
      <c r="U36" s="77">
        <f t="shared" si="16"/>
        <v>0</v>
      </c>
      <c r="V36" s="77">
        <f t="shared" si="4"/>
        <v>0</v>
      </c>
      <c r="W36" s="77">
        <f t="shared" si="5"/>
        <v>386</v>
      </c>
      <c r="X36" s="32"/>
      <c r="Y36" s="127">
        <v>1</v>
      </c>
      <c r="Z36" s="127">
        <v>1</v>
      </c>
      <c r="AA36" s="127">
        <v>5</v>
      </c>
      <c r="AB36" s="32"/>
      <c r="AC36" s="104" t="str">
        <f t="shared" si="6"/>
        <v>NON</v>
      </c>
      <c r="AD36" s="106"/>
      <c r="AE36" s="38" t="s">
        <v>467</v>
      </c>
      <c r="AF36" s="36" t="s">
        <v>272</v>
      </c>
      <c r="AG36" s="32" t="s">
        <v>468</v>
      </c>
      <c r="AH36" s="32"/>
      <c r="AI36" s="127">
        <v>41000</v>
      </c>
      <c r="AJ36" s="32" t="s">
        <v>389</v>
      </c>
      <c r="AK36" s="150" t="s">
        <v>469</v>
      </c>
      <c r="AL36" s="157">
        <v>15</v>
      </c>
      <c r="AM36" s="157" t="s">
        <v>253</v>
      </c>
      <c r="AN36" s="162">
        <v>705.31</v>
      </c>
      <c r="AO36" s="75" t="str">
        <f t="shared" si="28"/>
        <v/>
      </c>
      <c r="AP36" s="40"/>
      <c r="AQ36" s="103"/>
      <c r="AR36" s="40"/>
      <c r="AS36" s="40"/>
      <c r="AT36" s="117"/>
      <c r="AU36" s="40"/>
      <c r="AV36" s="40"/>
      <c r="AW36" s="103"/>
      <c r="AX36" s="103"/>
      <c r="AY36" s="162"/>
      <c r="AZ36" s="38"/>
      <c r="BA36" s="32"/>
      <c r="BB36" s="35" t="str">
        <f t="shared" si="8"/>
        <v>MRI</v>
      </c>
      <c r="BC36" s="114" t="str">
        <f t="shared" si="9"/>
        <v>NON</v>
      </c>
      <c r="BD36" s="35" t="str">
        <f t="shared" si="10"/>
        <v>NON</v>
      </c>
      <c r="BE36" s="37" t="str">
        <f t="shared" si="11"/>
        <v>NON</v>
      </c>
      <c r="BF36" s="38"/>
      <c r="BG36" s="77">
        <f>IF(ISERROR(VLOOKUP(A36,'Tableaux à actualiser'!$A$2:$C$1048576,2,FALSE)),0,VLOOKUP(A36,'Tableaux à actualiser'!$A$2:$C$1048576,2,FALSE))</f>
        <v>0</v>
      </c>
      <c r="BH36" s="78">
        <f>IF(ISERROR(VLOOKUP(A36,'Tableaux à actualiser'!$A$2:$C$1048576,3,FALSE)),0,VLOOKUP(A36,'Tableaux à actualiser'!$A$2:$C$1048576,3,FALSE))</f>
        <v>0</v>
      </c>
      <c r="BI36" s="78">
        <f t="shared" si="17"/>
        <v>643.02449999999999</v>
      </c>
      <c r="BJ36" s="80">
        <f t="shared" si="12"/>
        <v>1.6658665803108808</v>
      </c>
      <c r="BK36" s="78">
        <f t="shared" si="40"/>
        <v>553.00107000000003</v>
      </c>
      <c r="BL36" s="78">
        <f t="shared" ref="BL36:BN36" si="62">BK36*0.95</f>
        <v>525.35101650000001</v>
      </c>
      <c r="BM36" s="78">
        <f t="shared" si="62"/>
        <v>499.08346567500001</v>
      </c>
      <c r="BN36" s="78">
        <f t="shared" si="62"/>
        <v>474.12929239124998</v>
      </c>
      <c r="BO36" s="78">
        <f t="shared" si="24"/>
        <v>2051.56484456625</v>
      </c>
      <c r="BP36" s="84">
        <f t="shared" si="35"/>
        <v>0</v>
      </c>
      <c r="BQ36" s="79">
        <f t="shared" si="20"/>
        <v>705.31</v>
      </c>
      <c r="BR36" s="132"/>
      <c r="BS36" s="138">
        <f t="shared" si="13"/>
        <v>1.8272279792746113</v>
      </c>
      <c r="BT36" s="195">
        <f t="shared" si="31"/>
        <v>670.04449999999997</v>
      </c>
      <c r="BU36" s="195">
        <f t="shared" si="21"/>
        <v>27.020000000000003</v>
      </c>
      <c r="BV36" s="140"/>
      <c r="BW36" s="141"/>
      <c r="BX36" s="191">
        <f t="shared" si="25"/>
        <v>670.04449999999997</v>
      </c>
      <c r="BY36" s="81">
        <f t="shared" si="33"/>
        <v>705.31</v>
      </c>
      <c r="BZ36" s="178">
        <f t="shared" si="22"/>
        <v>-35.265499999999975</v>
      </c>
      <c r="CA36" s="180"/>
      <c r="CB36" s="181"/>
      <c r="CC36" s="181"/>
      <c r="CD36" s="181"/>
      <c r="CE36" s="181"/>
    </row>
    <row r="37" spans="1:83" x14ac:dyDescent="0.25">
      <c r="A37" s="20">
        <f t="shared" si="14"/>
        <v>31</v>
      </c>
      <c r="B37" s="107" t="str">
        <f>IF(A37&lt;&gt;"",'EDC - PARAMETRAGE'!$A$3,"")</f>
        <v>GROUPE DEBAYLE</v>
      </c>
      <c r="C37" s="119">
        <f>IF(A37&lt;&gt;"",'EDC - PARAMETRAGE'!$A$6,"")</f>
        <v>42562</v>
      </c>
      <c r="D37" s="123" t="s">
        <v>324</v>
      </c>
      <c r="E37" s="111" t="s">
        <v>334</v>
      </c>
      <c r="F37" s="149">
        <v>148</v>
      </c>
      <c r="G37" s="32"/>
      <c r="H37" s="36" t="str">
        <f t="shared" si="15"/>
        <v>SDC</v>
      </c>
      <c r="I37" s="33" t="s">
        <v>366</v>
      </c>
      <c r="J37" s="32"/>
      <c r="K37" s="127">
        <v>75001</v>
      </c>
      <c r="L37" s="32" t="s">
        <v>376</v>
      </c>
      <c r="M37" s="127"/>
      <c r="N37" s="127"/>
      <c r="O37" s="36" t="str">
        <f t="shared" si="1"/>
        <v>&lt;1500</v>
      </c>
      <c r="P37" s="37"/>
      <c r="Q37" s="128">
        <v>2900</v>
      </c>
      <c r="R37" s="115">
        <f t="shared" si="27"/>
        <v>0</v>
      </c>
      <c r="S37" s="170" t="str">
        <f t="shared" si="48"/>
        <v>SDCV</v>
      </c>
      <c r="T37" s="170" t="str">
        <f t="shared" si="49"/>
        <v>0</v>
      </c>
      <c r="U37" s="77">
        <f t="shared" si="16"/>
        <v>0</v>
      </c>
      <c r="V37" s="77">
        <f t="shared" si="4"/>
        <v>0</v>
      </c>
      <c r="W37" s="77">
        <f t="shared" si="5"/>
        <v>2900</v>
      </c>
      <c r="X37" s="32"/>
      <c r="Y37" s="127">
        <v>1</v>
      </c>
      <c r="Z37" s="127">
        <v>1</v>
      </c>
      <c r="AA37" s="127">
        <v>7</v>
      </c>
      <c r="AB37" s="32"/>
      <c r="AC37" s="104" t="str">
        <f t="shared" si="6"/>
        <v>NON</v>
      </c>
      <c r="AD37" s="106"/>
      <c r="AE37" s="38" t="s">
        <v>413</v>
      </c>
      <c r="AF37" s="36" t="s">
        <v>64</v>
      </c>
      <c r="AG37" s="32" t="s">
        <v>414</v>
      </c>
      <c r="AH37" s="32"/>
      <c r="AI37" s="127">
        <v>92200</v>
      </c>
      <c r="AJ37" s="32" t="s">
        <v>415</v>
      </c>
      <c r="AK37" s="158" t="s">
        <v>470</v>
      </c>
      <c r="AL37" s="157">
        <v>30</v>
      </c>
      <c r="AM37" s="157" t="s">
        <v>251</v>
      </c>
      <c r="AN37" s="162">
        <v>7175.43</v>
      </c>
      <c r="AO37" s="75" t="str">
        <f t="shared" si="28"/>
        <v/>
      </c>
      <c r="AP37" s="40"/>
      <c r="AQ37" s="103"/>
      <c r="AR37" s="40"/>
      <c r="AS37" s="40"/>
      <c r="AT37" s="117"/>
      <c r="AU37" s="40"/>
      <c r="AV37" s="40"/>
      <c r="AW37" s="103"/>
      <c r="AX37" s="103"/>
      <c r="AY37" s="162"/>
      <c r="AZ37" s="38"/>
      <c r="BA37" s="32"/>
      <c r="BB37" s="35" t="str">
        <f t="shared" si="8"/>
        <v>MRI</v>
      </c>
      <c r="BC37" s="114" t="str">
        <f t="shared" si="9"/>
        <v>NON</v>
      </c>
      <c r="BD37" s="35" t="str">
        <f t="shared" si="10"/>
        <v>NON</v>
      </c>
      <c r="BE37" s="37" t="str">
        <f t="shared" si="11"/>
        <v>NON</v>
      </c>
      <c r="BF37" s="38"/>
      <c r="BG37" s="77">
        <f>IF(ISERROR(VLOOKUP(A37,'Tableaux à actualiser'!$A$2:$C$1048576,2,FALSE)),0,VLOOKUP(A37,'Tableaux à actualiser'!$A$2:$C$1048576,2,FALSE))</f>
        <v>3</v>
      </c>
      <c r="BH37" s="78">
        <f>IF(ISERROR(VLOOKUP(A37,'Tableaux à actualiser'!$A$2:$C$1048576,3,FALSE)),0,VLOOKUP(A37,'Tableaux à actualiser'!$A$2:$C$1048576,3,FALSE))</f>
        <v>1261</v>
      </c>
      <c r="BI37" s="78">
        <f t="shared" si="17"/>
        <v>6185.75</v>
      </c>
      <c r="BJ37" s="80">
        <f t="shared" si="12"/>
        <v>2.1330172413793105</v>
      </c>
      <c r="BK37" s="78">
        <f t="shared" si="40"/>
        <v>5319.7449999999999</v>
      </c>
      <c r="BL37" s="78">
        <f t="shared" ref="BL37:BN37" si="63">BK37*0.95</f>
        <v>5053.7577499999998</v>
      </c>
      <c r="BM37" s="78">
        <f t="shared" si="63"/>
        <v>4801.0698624999995</v>
      </c>
      <c r="BN37" s="78">
        <f t="shared" si="63"/>
        <v>4561.0163693749992</v>
      </c>
      <c r="BO37" s="78">
        <f t="shared" si="24"/>
        <v>19735.588981875</v>
      </c>
      <c r="BP37" s="84">
        <f t="shared" si="35"/>
        <v>6.3894723443931253E-2</v>
      </c>
      <c r="BQ37" s="79">
        <v>6725</v>
      </c>
      <c r="BR37" s="132" t="s">
        <v>49</v>
      </c>
      <c r="BS37" s="138">
        <f t="shared" si="13"/>
        <v>2.3189655172413794</v>
      </c>
      <c r="BT37" s="195">
        <f t="shared" si="31"/>
        <v>6388.75</v>
      </c>
      <c r="BU37" s="195">
        <f t="shared" si="21"/>
        <v>203.00000000000003</v>
      </c>
      <c r="BV37" s="140"/>
      <c r="BW37" s="141"/>
      <c r="BX37" s="191">
        <f t="shared" si="25"/>
        <v>6388.75</v>
      </c>
      <c r="BY37" s="81">
        <f t="shared" si="33"/>
        <v>6725</v>
      </c>
      <c r="BZ37" s="178">
        <f t="shared" si="22"/>
        <v>-336.25</v>
      </c>
      <c r="CA37" s="180"/>
      <c r="CB37" s="181"/>
      <c r="CC37" s="181"/>
      <c r="CD37" s="181"/>
      <c r="CE37" s="181"/>
    </row>
    <row r="38" spans="1:83" x14ac:dyDescent="0.25">
      <c r="A38" s="20">
        <f t="shared" si="14"/>
        <v>32</v>
      </c>
      <c r="B38" s="107" t="str">
        <f>IF(A38&lt;&gt;"",'EDC - PARAMETRAGE'!$A$3,"")</f>
        <v>GROUPE DEBAYLE</v>
      </c>
      <c r="C38" s="119">
        <f>IF(A38&lt;&gt;"",'EDC - PARAMETRAGE'!$A$6,"")</f>
        <v>42562</v>
      </c>
      <c r="D38" s="123" t="s">
        <v>325</v>
      </c>
      <c r="E38" s="111" t="s">
        <v>334</v>
      </c>
      <c r="F38" s="149">
        <v>149</v>
      </c>
      <c r="G38" s="32"/>
      <c r="H38" s="36" t="str">
        <f t="shared" si="15"/>
        <v>SDC</v>
      </c>
      <c r="I38" s="33" t="s">
        <v>367</v>
      </c>
      <c r="J38" s="32"/>
      <c r="K38" s="127">
        <v>75009</v>
      </c>
      <c r="L38" s="32" t="s">
        <v>376</v>
      </c>
      <c r="M38" s="127"/>
      <c r="N38" s="127"/>
      <c r="O38" s="36" t="str">
        <f t="shared" si="1"/>
        <v>&lt;1500</v>
      </c>
      <c r="P38" s="37"/>
      <c r="Q38" s="128">
        <v>2500</v>
      </c>
      <c r="R38" s="115">
        <f t="shared" si="27"/>
        <v>0</v>
      </c>
      <c r="S38" s="170" t="str">
        <f t="shared" si="48"/>
        <v>SDCV</v>
      </c>
      <c r="T38" s="170" t="str">
        <f t="shared" si="49"/>
        <v>0</v>
      </c>
      <c r="U38" s="77">
        <f t="shared" si="16"/>
        <v>0</v>
      </c>
      <c r="V38" s="77">
        <f t="shared" si="4"/>
        <v>0</v>
      </c>
      <c r="W38" s="77">
        <f t="shared" si="5"/>
        <v>2500</v>
      </c>
      <c r="X38" s="32"/>
      <c r="Y38" s="127">
        <v>1</v>
      </c>
      <c r="Z38" s="127">
        <v>1</v>
      </c>
      <c r="AA38" s="127">
        <v>6</v>
      </c>
      <c r="AB38" s="32"/>
      <c r="AC38" s="104" t="str">
        <f t="shared" si="6"/>
        <v>NON</v>
      </c>
      <c r="AD38" s="106"/>
      <c r="AE38" s="38" t="s">
        <v>436</v>
      </c>
      <c r="AF38" s="36" t="s">
        <v>275</v>
      </c>
      <c r="AG38" s="32" t="s">
        <v>437</v>
      </c>
      <c r="AH38" s="32"/>
      <c r="AI38" s="127">
        <v>75008</v>
      </c>
      <c r="AJ38" s="32" t="s">
        <v>376</v>
      </c>
      <c r="AK38" s="150">
        <v>86224</v>
      </c>
      <c r="AL38" s="157">
        <v>1</v>
      </c>
      <c r="AM38" s="157" t="s">
        <v>243</v>
      </c>
      <c r="AN38" s="162">
        <v>4626.55</v>
      </c>
      <c r="AO38" s="75" t="str">
        <f t="shared" si="28"/>
        <v/>
      </c>
      <c r="AP38" s="40"/>
      <c r="AQ38" s="103"/>
      <c r="AR38" s="40"/>
      <c r="AS38" s="40"/>
      <c r="AT38" s="117"/>
      <c r="AU38" s="40"/>
      <c r="AV38" s="40"/>
      <c r="AW38" s="103"/>
      <c r="AX38" s="103"/>
      <c r="AY38" s="162"/>
      <c r="AZ38" s="38"/>
      <c r="BA38" s="32"/>
      <c r="BB38" s="35" t="str">
        <f t="shared" si="8"/>
        <v>MRI</v>
      </c>
      <c r="BC38" s="114" t="str">
        <f t="shared" si="9"/>
        <v>NON</v>
      </c>
      <c r="BD38" s="35" t="str">
        <f t="shared" si="10"/>
        <v>NON</v>
      </c>
      <c r="BE38" s="37" t="str">
        <f t="shared" si="11"/>
        <v>NON</v>
      </c>
      <c r="BF38" s="38"/>
      <c r="BG38" s="77">
        <f>IF(ISERROR(VLOOKUP(A38,'Tableaux à actualiser'!$A$2:$C$1048576,2,FALSE)),0,VLOOKUP(A38,'Tableaux à actualiser'!$A$2:$C$1048576,2,FALSE))</f>
        <v>0</v>
      </c>
      <c r="BH38" s="78">
        <f>IF(ISERROR(VLOOKUP(A38,'Tableaux à actualiser'!$A$2:$C$1048576,3,FALSE)),0,VLOOKUP(A38,'Tableaux à actualiser'!$A$2:$C$1048576,3,FALSE))</f>
        <v>0</v>
      </c>
      <c r="BI38" s="78">
        <f t="shared" si="17"/>
        <v>4220.2224999999999</v>
      </c>
      <c r="BJ38" s="80">
        <f t="shared" si="12"/>
        <v>1.688089</v>
      </c>
      <c r="BK38" s="78">
        <f t="shared" si="40"/>
        <v>3629.3913499999999</v>
      </c>
      <c r="BL38" s="78">
        <f t="shared" ref="BL38:BN38" si="64">BK38*0.95</f>
        <v>3447.9217824999996</v>
      </c>
      <c r="BM38" s="78">
        <f t="shared" si="64"/>
        <v>3275.5256933749993</v>
      </c>
      <c r="BN38" s="78">
        <f t="shared" si="64"/>
        <v>3111.7494087062491</v>
      </c>
      <c r="BO38" s="78">
        <f t="shared" si="24"/>
        <v>13464.588234581248</v>
      </c>
      <c r="BP38" s="84">
        <f t="shared" si="35"/>
        <v>0</v>
      </c>
      <c r="BQ38" s="79">
        <f t="shared" si="20"/>
        <v>4626.55</v>
      </c>
      <c r="BR38" s="132"/>
      <c r="BS38" s="138">
        <f t="shared" si="13"/>
        <v>1.8506200000000002</v>
      </c>
      <c r="BT38" s="195">
        <f t="shared" si="31"/>
        <v>4395.2224999999999</v>
      </c>
      <c r="BU38" s="195">
        <f t="shared" si="21"/>
        <v>175.00000000000003</v>
      </c>
      <c r="BV38" s="140"/>
      <c r="BW38" s="141"/>
      <c r="BX38" s="191">
        <f t="shared" si="25"/>
        <v>4395.2224999999999</v>
      </c>
      <c r="BY38" s="81">
        <f t="shared" si="33"/>
        <v>4626.55</v>
      </c>
      <c r="BZ38" s="178">
        <f t="shared" si="22"/>
        <v>-231.32750000000033</v>
      </c>
      <c r="CA38" s="180"/>
      <c r="CB38" s="181"/>
      <c r="CC38" s="181"/>
      <c r="CD38" s="181"/>
      <c r="CE38" s="181"/>
    </row>
    <row r="39" spans="1:83" x14ac:dyDescent="0.25">
      <c r="A39" s="20">
        <f t="shared" si="14"/>
        <v>33</v>
      </c>
      <c r="B39" s="107" t="str">
        <f>IF(A39&lt;&gt;"",'EDC - PARAMETRAGE'!$A$3,"")</f>
        <v>GROUPE DEBAYLE</v>
      </c>
      <c r="C39" s="119">
        <f>IF(A39&lt;&gt;"",'EDC - PARAMETRAGE'!$A$6,"")</f>
        <v>42562</v>
      </c>
      <c r="D39" s="123" t="s">
        <v>326</v>
      </c>
      <c r="E39" s="111" t="s">
        <v>334</v>
      </c>
      <c r="F39" s="149">
        <v>150</v>
      </c>
      <c r="G39" s="32"/>
      <c r="H39" s="36" t="str">
        <f t="shared" si="15"/>
        <v>SDC</v>
      </c>
      <c r="I39" s="33" t="s">
        <v>368</v>
      </c>
      <c r="J39" s="32"/>
      <c r="K39" s="127">
        <v>75004</v>
      </c>
      <c r="L39" s="32" t="s">
        <v>376</v>
      </c>
      <c r="M39" s="127"/>
      <c r="N39" s="127"/>
      <c r="O39" s="36" t="str">
        <f t="shared" si="1"/>
        <v>&lt;1500</v>
      </c>
      <c r="P39" s="37"/>
      <c r="Q39" s="128">
        <v>862</v>
      </c>
      <c r="R39" s="115">
        <f t="shared" si="27"/>
        <v>0</v>
      </c>
      <c r="S39" s="170" t="str">
        <f t="shared" si="48"/>
        <v>SDCV</v>
      </c>
      <c r="T39" s="170" t="str">
        <f t="shared" si="49"/>
        <v>0</v>
      </c>
      <c r="U39" s="77">
        <f t="shared" si="16"/>
        <v>0</v>
      </c>
      <c r="V39" s="77">
        <f t="shared" si="4"/>
        <v>0</v>
      </c>
      <c r="W39" s="77">
        <f t="shared" si="5"/>
        <v>862</v>
      </c>
      <c r="X39" s="32"/>
      <c r="Y39" s="127">
        <v>1</v>
      </c>
      <c r="Z39" s="127">
        <v>1</v>
      </c>
      <c r="AA39" s="127">
        <v>6</v>
      </c>
      <c r="AB39" s="32"/>
      <c r="AC39" s="104" t="str">
        <f t="shared" si="6"/>
        <v>NON</v>
      </c>
      <c r="AD39" s="106"/>
      <c r="AE39" s="38" t="s">
        <v>471</v>
      </c>
      <c r="AF39" s="36" t="s">
        <v>260</v>
      </c>
      <c r="AG39" s="32" t="s">
        <v>472</v>
      </c>
      <c r="AH39" s="32"/>
      <c r="AI39" s="127">
        <v>92600</v>
      </c>
      <c r="AJ39" s="32" t="s">
        <v>378</v>
      </c>
      <c r="AK39" s="150">
        <v>6645440404</v>
      </c>
      <c r="AL39" s="157">
        <v>1</v>
      </c>
      <c r="AM39" s="157" t="s">
        <v>243</v>
      </c>
      <c r="AN39" s="162">
        <v>2781.91</v>
      </c>
      <c r="AO39" s="75" t="str">
        <f t="shared" si="28"/>
        <v/>
      </c>
      <c r="AP39" s="40"/>
      <c r="AQ39" s="103"/>
      <c r="AR39" s="40"/>
      <c r="AS39" s="40"/>
      <c r="AT39" s="117"/>
      <c r="AU39" s="40"/>
      <c r="AV39" s="40"/>
      <c r="AW39" s="103"/>
      <c r="AX39" s="103"/>
      <c r="AY39" s="162"/>
      <c r="AZ39" s="38"/>
      <c r="BA39" s="32"/>
      <c r="BB39" s="35" t="str">
        <f t="shared" si="8"/>
        <v>MRI</v>
      </c>
      <c r="BC39" s="114" t="str">
        <f t="shared" si="9"/>
        <v>NON</v>
      </c>
      <c r="BD39" s="35" t="str">
        <f t="shared" si="10"/>
        <v>NON</v>
      </c>
      <c r="BE39" s="37" t="str">
        <f t="shared" si="11"/>
        <v>NON</v>
      </c>
      <c r="BF39" s="38"/>
      <c r="BG39" s="77">
        <f>IF(ISERROR(VLOOKUP(A39,'Tableaux à actualiser'!$A$2:$C$1048576,2,FALSE)),0,VLOOKUP(A39,'Tableaux à actualiser'!$A$2:$C$1048576,2,FALSE))</f>
        <v>0</v>
      </c>
      <c r="BH39" s="78">
        <f>IF(ISERROR(VLOOKUP(A39,'Tableaux à actualiser'!$A$2:$C$1048576,3,FALSE)),0,VLOOKUP(A39,'Tableaux à actualiser'!$A$2:$C$1048576,3,FALSE))</f>
        <v>0</v>
      </c>
      <c r="BI39" s="78">
        <f t="shared" si="17"/>
        <v>2122.3399999999997</v>
      </c>
      <c r="BJ39" s="80">
        <f t="shared" si="12"/>
        <v>2.4621113689095124</v>
      </c>
      <c r="BK39" s="78">
        <f t="shared" si="40"/>
        <v>1825.2123999999997</v>
      </c>
      <c r="BL39" s="78">
        <f t="shared" ref="BL39:BN39" si="65">BK39*0.95</f>
        <v>1733.9517799999996</v>
      </c>
      <c r="BM39" s="78">
        <f t="shared" si="65"/>
        <v>1647.2541909999995</v>
      </c>
      <c r="BN39" s="78">
        <f t="shared" si="65"/>
        <v>1564.8914814499994</v>
      </c>
      <c r="BO39" s="78">
        <f t="shared" si="24"/>
        <v>6771.3098524499983</v>
      </c>
      <c r="BP39" s="84">
        <f t="shared" si="35"/>
        <v>0</v>
      </c>
      <c r="BQ39" s="79">
        <v>2322</v>
      </c>
      <c r="BR39" s="132"/>
      <c r="BS39" s="138">
        <f t="shared" si="13"/>
        <v>2.6937354988399074</v>
      </c>
      <c r="BT39" s="195">
        <f>BQ39*0.94</f>
        <v>2182.6799999999998</v>
      </c>
      <c r="BU39" s="195">
        <f t="shared" si="21"/>
        <v>60.34</v>
      </c>
      <c r="BV39" s="140"/>
      <c r="BW39" s="141"/>
      <c r="BX39" s="191">
        <f t="shared" si="25"/>
        <v>2182.6799999999998</v>
      </c>
      <c r="BY39" s="81">
        <f t="shared" si="33"/>
        <v>2322</v>
      </c>
      <c r="BZ39" s="178">
        <f t="shared" si="22"/>
        <v>-139.32000000000016</v>
      </c>
      <c r="CA39" s="180"/>
      <c r="CB39" s="181"/>
      <c r="CC39" s="181"/>
      <c r="CD39" s="181"/>
      <c r="CE39" s="181"/>
    </row>
    <row r="40" spans="1:83" x14ac:dyDescent="0.25">
      <c r="A40" s="20">
        <f t="shared" si="14"/>
        <v>34</v>
      </c>
      <c r="B40" s="107" t="str">
        <f>IF(A40&lt;&gt;"",'EDC - PARAMETRAGE'!$A$3,"")</f>
        <v>GROUPE DEBAYLE</v>
      </c>
      <c r="C40" s="119">
        <f>IF(A40&lt;&gt;"",'EDC - PARAMETRAGE'!$A$6,"")</f>
        <v>42562</v>
      </c>
      <c r="D40" s="123" t="s">
        <v>327</v>
      </c>
      <c r="E40" s="111" t="s">
        <v>334</v>
      </c>
      <c r="F40" s="149">
        <v>151</v>
      </c>
      <c r="G40" s="32"/>
      <c r="H40" s="36" t="str">
        <f t="shared" si="15"/>
        <v>SDC</v>
      </c>
      <c r="I40" s="153" t="s">
        <v>369</v>
      </c>
      <c r="J40" s="32"/>
      <c r="K40" s="127">
        <v>75018</v>
      </c>
      <c r="L40" s="32" t="s">
        <v>376</v>
      </c>
      <c r="M40" s="127"/>
      <c r="N40" s="127"/>
      <c r="O40" s="36" t="str">
        <f t="shared" si="1"/>
        <v>&lt;1500</v>
      </c>
      <c r="P40" s="37"/>
      <c r="Q40" s="128">
        <v>1782</v>
      </c>
      <c r="R40" s="115">
        <f t="shared" si="27"/>
        <v>0</v>
      </c>
      <c r="S40" s="170" t="str">
        <f t="shared" si="48"/>
        <v>SDCV</v>
      </c>
      <c r="T40" s="170" t="str">
        <f t="shared" si="49"/>
        <v>0</v>
      </c>
      <c r="U40" s="77">
        <f t="shared" si="16"/>
        <v>0</v>
      </c>
      <c r="V40" s="77">
        <f t="shared" si="4"/>
        <v>0</v>
      </c>
      <c r="W40" s="77">
        <f t="shared" si="5"/>
        <v>1782</v>
      </c>
      <c r="X40" s="32"/>
      <c r="Y40" s="127">
        <v>1</v>
      </c>
      <c r="Z40" s="127">
        <v>1</v>
      </c>
      <c r="AA40" s="127">
        <v>7</v>
      </c>
      <c r="AB40" s="32"/>
      <c r="AC40" s="104" t="str">
        <f t="shared" si="6"/>
        <v>NON</v>
      </c>
      <c r="AD40" s="106"/>
      <c r="AE40" s="38" t="s">
        <v>473</v>
      </c>
      <c r="AF40" s="36" t="s">
        <v>260</v>
      </c>
      <c r="AG40" s="32" t="s">
        <v>474</v>
      </c>
      <c r="AH40" s="32"/>
      <c r="AI40" s="127">
        <v>75015</v>
      </c>
      <c r="AJ40" s="32" t="s">
        <v>376</v>
      </c>
      <c r="AK40" s="150">
        <v>5206533304</v>
      </c>
      <c r="AL40" s="157">
        <v>1</v>
      </c>
      <c r="AM40" s="157" t="s">
        <v>243</v>
      </c>
      <c r="AN40" s="162">
        <v>6463.18</v>
      </c>
      <c r="AO40" s="75">
        <f t="shared" si="28"/>
        <v>1</v>
      </c>
      <c r="AP40" s="38" t="s">
        <v>473</v>
      </c>
      <c r="AQ40" s="36" t="s">
        <v>260</v>
      </c>
      <c r="AR40" s="32" t="s">
        <v>474</v>
      </c>
      <c r="AS40" s="32"/>
      <c r="AT40" s="127">
        <v>75015</v>
      </c>
      <c r="AU40" s="32" t="s">
        <v>376</v>
      </c>
      <c r="AV40" s="40">
        <v>5473432004</v>
      </c>
      <c r="AW40" s="103">
        <v>1</v>
      </c>
      <c r="AX40" s="103" t="s">
        <v>252</v>
      </c>
      <c r="AY40" s="162">
        <v>231.65</v>
      </c>
      <c r="AZ40" s="38"/>
      <c r="BA40" s="32"/>
      <c r="BB40" s="35" t="str">
        <f t="shared" si="8"/>
        <v>MRI</v>
      </c>
      <c r="BC40" s="114" t="str">
        <f t="shared" si="9"/>
        <v>NON</v>
      </c>
      <c r="BD40" s="35" t="str">
        <f t="shared" si="10"/>
        <v>NON</v>
      </c>
      <c r="BE40" s="37" t="str">
        <f t="shared" si="11"/>
        <v>NON</v>
      </c>
      <c r="BF40" s="38"/>
      <c r="BG40" s="77">
        <f>IF(ISERROR(VLOOKUP(A40,'Tableaux à actualiser'!$A$2:$C$1048576,2,FALSE)),0,VLOOKUP(A40,'Tableaux à actualiser'!$A$2:$C$1048576,2,FALSE))</f>
        <v>0</v>
      </c>
      <c r="BH40" s="78">
        <f>IF(ISERROR(VLOOKUP(A40,'Tableaux à actualiser'!$A$2:$C$1048576,3,FALSE)),0,VLOOKUP(A40,'Tableaux à actualiser'!$A$2:$C$1048576,3,FALSE))</f>
        <v>0</v>
      </c>
      <c r="BI40" s="78">
        <f t="shared" si="17"/>
        <v>5833.6587</v>
      </c>
      <c r="BJ40" s="80">
        <f t="shared" si="12"/>
        <v>3.2736580808080809</v>
      </c>
      <c r="BK40" s="78">
        <f t="shared" si="40"/>
        <v>5016.9464820000003</v>
      </c>
      <c r="BL40" s="78">
        <f t="shared" ref="BL40:BN40" si="66">BK40*0.95</f>
        <v>4766.0991579000001</v>
      </c>
      <c r="BM40" s="78">
        <f t="shared" si="66"/>
        <v>4527.7942000049998</v>
      </c>
      <c r="BN40" s="78">
        <f t="shared" si="66"/>
        <v>4301.4044900047493</v>
      </c>
      <c r="BO40" s="78">
        <f t="shared" si="24"/>
        <v>18612.244329909747</v>
      </c>
      <c r="BP40" s="84">
        <f t="shared" si="35"/>
        <v>0</v>
      </c>
      <c r="BQ40" s="79">
        <f t="shared" si="20"/>
        <v>6694.83</v>
      </c>
      <c r="BR40" s="132"/>
      <c r="BS40" s="138">
        <f t="shared" si="13"/>
        <v>3.756919191919192</v>
      </c>
      <c r="BT40" s="195">
        <f>BQ40*0.89</f>
        <v>5958.3986999999997</v>
      </c>
      <c r="BU40" s="195">
        <f t="shared" si="21"/>
        <v>124.74000000000001</v>
      </c>
      <c r="BV40" s="140"/>
      <c r="BW40" s="141"/>
      <c r="BX40" s="191">
        <f t="shared" si="25"/>
        <v>5958.3986999999997</v>
      </c>
      <c r="BY40" s="81">
        <f t="shared" si="33"/>
        <v>6694.83</v>
      </c>
      <c r="BZ40" s="178">
        <f t="shared" si="22"/>
        <v>-736.43130000000019</v>
      </c>
      <c r="CA40" s="180"/>
      <c r="CB40" s="181"/>
      <c r="CC40" s="181"/>
      <c r="CD40" s="181"/>
      <c r="CE40" s="181"/>
    </row>
    <row r="41" spans="1:83" x14ac:dyDescent="0.25">
      <c r="A41" s="20">
        <f t="shared" si="14"/>
        <v>35</v>
      </c>
      <c r="B41" s="107" t="str">
        <f>IF(A41&lt;&gt;"",'EDC - PARAMETRAGE'!$A$3,"")</f>
        <v>GROUPE DEBAYLE</v>
      </c>
      <c r="C41" s="119">
        <f>IF(A41&lt;&gt;"",'EDC - PARAMETRAGE'!$A$6,"")</f>
        <v>42562</v>
      </c>
      <c r="D41" s="123" t="s">
        <v>328</v>
      </c>
      <c r="E41" s="111" t="s">
        <v>334</v>
      </c>
      <c r="F41" s="149">
        <v>152</v>
      </c>
      <c r="G41" s="32"/>
      <c r="H41" s="36" t="str">
        <f t="shared" ref="H41:H49" si="67">IF(A41&lt;&gt;"","SDC","")</f>
        <v>SDC</v>
      </c>
      <c r="I41" s="32" t="s">
        <v>370</v>
      </c>
      <c r="J41" s="32"/>
      <c r="K41" s="127">
        <v>75008</v>
      </c>
      <c r="L41" s="32" t="s">
        <v>376</v>
      </c>
      <c r="M41" s="127"/>
      <c r="N41" s="127"/>
      <c r="O41" s="36" t="str">
        <f t="shared" si="1"/>
        <v>&lt;1500</v>
      </c>
      <c r="P41" s="37"/>
      <c r="Q41" s="128">
        <v>2300</v>
      </c>
      <c r="R41" s="115">
        <f t="shared" si="27"/>
        <v>0</v>
      </c>
      <c r="S41" s="170" t="str">
        <f t="shared" si="48"/>
        <v>SDCV</v>
      </c>
      <c r="T41" s="170" t="str">
        <f t="shared" si="49"/>
        <v>0</v>
      </c>
      <c r="U41" s="77">
        <f t="shared" si="16"/>
        <v>0</v>
      </c>
      <c r="V41" s="77">
        <f t="shared" si="4"/>
        <v>0</v>
      </c>
      <c r="W41" s="77">
        <f t="shared" si="5"/>
        <v>2300</v>
      </c>
      <c r="X41" s="32"/>
      <c r="Y41" s="127">
        <v>1</v>
      </c>
      <c r="Z41" s="127">
        <v>1</v>
      </c>
      <c r="AA41" s="127">
        <v>6</v>
      </c>
      <c r="AB41" s="32"/>
      <c r="AC41" s="104" t="str">
        <f t="shared" si="6"/>
        <v>NON</v>
      </c>
      <c r="AD41" s="106"/>
      <c r="AE41" s="38" t="s">
        <v>460</v>
      </c>
      <c r="AF41" s="36" t="s">
        <v>64</v>
      </c>
      <c r="AG41" s="32" t="s">
        <v>461</v>
      </c>
      <c r="AH41" s="32"/>
      <c r="AI41" s="127">
        <v>75008</v>
      </c>
      <c r="AJ41" s="32" t="s">
        <v>376</v>
      </c>
      <c r="AK41" s="158" t="s">
        <v>475</v>
      </c>
      <c r="AL41" s="157">
        <v>1</v>
      </c>
      <c r="AM41" s="157" t="s">
        <v>254</v>
      </c>
      <c r="AN41" s="162">
        <v>5520</v>
      </c>
      <c r="AO41" s="75" t="str">
        <f t="shared" si="28"/>
        <v/>
      </c>
      <c r="AP41" s="40"/>
      <c r="AQ41" s="103"/>
      <c r="AR41" s="40"/>
      <c r="AS41" s="40"/>
      <c r="AT41" s="117"/>
      <c r="AU41" s="40"/>
      <c r="AV41" s="40"/>
      <c r="AW41" s="103"/>
      <c r="AX41" s="103"/>
      <c r="AY41" s="162"/>
      <c r="AZ41" s="38"/>
      <c r="BA41" s="32"/>
      <c r="BB41" s="35" t="str">
        <f t="shared" si="8"/>
        <v>MRI</v>
      </c>
      <c r="BC41" s="114" t="str">
        <f t="shared" si="9"/>
        <v>NON</v>
      </c>
      <c r="BD41" s="35" t="str">
        <f t="shared" si="10"/>
        <v>NON</v>
      </c>
      <c r="BE41" s="37" t="str">
        <f t="shared" si="11"/>
        <v>NON</v>
      </c>
      <c r="BF41" s="38"/>
      <c r="BG41" s="77">
        <f>IF(ISERROR(VLOOKUP(A41,'Tableaux à actualiser'!$A$2:$C$1048576,2,FALSE)),0,VLOOKUP(A41,'Tableaux à actualiser'!$A$2:$C$1048576,2,FALSE))</f>
        <v>0</v>
      </c>
      <c r="BH41" s="78">
        <f>IF(ISERROR(VLOOKUP(A41,'Tableaux à actualiser'!$A$2:$C$1048576,3,FALSE)),0,VLOOKUP(A41,'Tableaux à actualiser'!$A$2:$C$1048576,3,FALSE))</f>
        <v>0</v>
      </c>
      <c r="BI41" s="78">
        <f t="shared" si="17"/>
        <v>5083</v>
      </c>
      <c r="BJ41" s="80">
        <f t="shared" si="12"/>
        <v>2.21</v>
      </c>
      <c r="BK41" s="78">
        <f t="shared" si="40"/>
        <v>4371.38</v>
      </c>
      <c r="BL41" s="78">
        <f t="shared" ref="BL41:BN41" si="68">BK41*0.95</f>
        <v>4152.8109999999997</v>
      </c>
      <c r="BM41" s="78">
        <f t="shared" si="68"/>
        <v>3945.1704499999996</v>
      </c>
      <c r="BN41" s="78">
        <f t="shared" si="68"/>
        <v>3747.9119274999994</v>
      </c>
      <c r="BO41" s="78">
        <f t="shared" si="24"/>
        <v>16217.273377499998</v>
      </c>
      <c r="BP41" s="84">
        <f t="shared" si="35"/>
        <v>0</v>
      </c>
      <c r="BQ41" s="79">
        <f t="shared" si="20"/>
        <v>5520</v>
      </c>
      <c r="BR41" s="132"/>
      <c r="BS41" s="138">
        <f t="shared" si="13"/>
        <v>2.4</v>
      </c>
      <c r="BT41" s="195">
        <f t="shared" si="31"/>
        <v>5244</v>
      </c>
      <c r="BU41" s="195">
        <f t="shared" si="21"/>
        <v>161.00000000000003</v>
      </c>
      <c r="BV41" s="140"/>
      <c r="BW41" s="141"/>
      <c r="BX41" s="191">
        <f t="shared" si="25"/>
        <v>5244</v>
      </c>
      <c r="BY41" s="81">
        <f t="shared" si="33"/>
        <v>5520</v>
      </c>
      <c r="BZ41" s="178">
        <f t="shared" si="22"/>
        <v>-276</v>
      </c>
      <c r="CA41" s="180"/>
      <c r="CB41" s="181"/>
      <c r="CC41" s="181"/>
      <c r="CD41" s="181"/>
      <c r="CE41" s="181"/>
    </row>
    <row r="42" spans="1:83" x14ac:dyDescent="0.25">
      <c r="A42" s="20">
        <f t="shared" si="14"/>
        <v>36</v>
      </c>
      <c r="B42" s="107" t="str">
        <f>IF(A42&lt;&gt;"",'EDC - PARAMETRAGE'!$A$3,"")</f>
        <v>GROUPE DEBAYLE</v>
      </c>
      <c r="C42" s="119">
        <f>IF(A42&lt;&gt;"",'EDC - PARAMETRAGE'!$A$6,"")</f>
        <v>42562</v>
      </c>
      <c r="D42" s="123" t="s">
        <v>329</v>
      </c>
      <c r="E42" s="111" t="s">
        <v>334</v>
      </c>
      <c r="F42" s="149">
        <v>153</v>
      </c>
      <c r="G42" s="32"/>
      <c r="H42" s="36" t="str">
        <f t="shared" si="67"/>
        <v>SDC</v>
      </c>
      <c r="I42" s="32" t="s">
        <v>371</v>
      </c>
      <c r="J42" s="32"/>
      <c r="K42" s="127">
        <v>75020</v>
      </c>
      <c r="L42" s="32" t="s">
        <v>376</v>
      </c>
      <c r="M42" s="127"/>
      <c r="N42" s="127"/>
      <c r="O42" s="36" t="str">
        <f t="shared" si="1"/>
        <v>&lt;1500</v>
      </c>
      <c r="P42" s="37"/>
      <c r="Q42" s="128">
        <v>830</v>
      </c>
      <c r="R42" s="115">
        <f t="shared" si="27"/>
        <v>0</v>
      </c>
      <c r="S42" s="170" t="s">
        <v>39</v>
      </c>
      <c r="T42" s="170">
        <v>0.24</v>
      </c>
      <c r="U42" s="77">
        <f t="shared" si="16"/>
        <v>199.2</v>
      </c>
      <c r="V42" s="77">
        <f t="shared" si="4"/>
        <v>0</v>
      </c>
      <c r="W42" s="77">
        <f t="shared" si="5"/>
        <v>630.79999999999995</v>
      </c>
      <c r="X42" s="32" t="s">
        <v>519</v>
      </c>
      <c r="Y42" s="127">
        <v>1</v>
      </c>
      <c r="Z42" s="127">
        <v>1</v>
      </c>
      <c r="AA42" s="127">
        <v>6</v>
      </c>
      <c r="AB42" s="32"/>
      <c r="AC42" s="104" t="str">
        <f t="shared" si="6"/>
        <v>NON</v>
      </c>
      <c r="AD42" s="106"/>
      <c r="AE42" s="38" t="s">
        <v>520</v>
      </c>
      <c r="AF42" s="36" t="s">
        <v>19</v>
      </c>
      <c r="AG42" s="32" t="s">
        <v>472</v>
      </c>
      <c r="AH42" s="32"/>
      <c r="AI42" s="127">
        <v>92600</v>
      </c>
      <c r="AJ42" s="32" t="s">
        <v>378</v>
      </c>
      <c r="AK42" s="150" t="s">
        <v>521</v>
      </c>
      <c r="AL42" s="157">
        <v>1</v>
      </c>
      <c r="AM42" s="157" t="s">
        <v>252</v>
      </c>
      <c r="AN42" s="162">
        <v>1800</v>
      </c>
      <c r="AO42" s="75" t="str">
        <f t="shared" si="28"/>
        <v/>
      </c>
      <c r="AP42" s="40"/>
      <c r="AQ42" s="103"/>
      <c r="AR42" s="40"/>
      <c r="AS42" s="40"/>
      <c r="AT42" s="117"/>
      <c r="AU42" s="40"/>
      <c r="AV42" s="40"/>
      <c r="AW42" s="103"/>
      <c r="AX42" s="103"/>
      <c r="AY42" s="162"/>
      <c r="AZ42" s="38"/>
      <c r="BA42" s="32"/>
      <c r="BB42" s="35" t="str">
        <f t="shared" si="8"/>
        <v>MRI</v>
      </c>
      <c r="BC42" s="114" t="str">
        <f t="shared" si="9"/>
        <v>NON</v>
      </c>
      <c r="BD42" s="35" t="str">
        <f t="shared" si="10"/>
        <v>NON</v>
      </c>
      <c r="BE42" s="37" t="str">
        <f t="shared" si="11"/>
        <v>NON</v>
      </c>
      <c r="BF42" s="38"/>
      <c r="BG42" s="77">
        <f>IF(ISERROR(VLOOKUP(A42,'Tableaux à actualiser'!$A$2:$C$1048576,2,FALSE)),0,VLOOKUP(A42,'Tableaux à actualiser'!$A$2:$C$1048576,2,FALSE))</f>
        <v>0</v>
      </c>
      <c r="BH42" s="78">
        <f>IF(ISERROR(VLOOKUP(A42,'Tableaux à actualiser'!$A$2:$C$1048576,3,FALSE)),0,VLOOKUP(A42,'Tableaux à actualiser'!$A$2:$C$1048576,3,FALSE))</f>
        <v>0</v>
      </c>
      <c r="BI42" s="78">
        <f t="shared" si="17"/>
        <v>1651.9</v>
      </c>
      <c r="BJ42" s="80">
        <f t="shared" si="12"/>
        <v>1.9902409638554217</v>
      </c>
      <c r="BK42" s="78">
        <f t="shared" si="40"/>
        <v>1420.634</v>
      </c>
      <c r="BL42" s="78">
        <f t="shared" ref="BL42:BN42" si="69">BK42*0.95</f>
        <v>1349.6023</v>
      </c>
      <c r="BM42" s="78">
        <f t="shared" si="69"/>
        <v>1282.1221849999999</v>
      </c>
      <c r="BN42" s="78">
        <f t="shared" si="69"/>
        <v>1218.0160757499998</v>
      </c>
      <c r="BO42" s="78">
        <f t="shared" si="24"/>
        <v>5270.3745607499995</v>
      </c>
      <c r="BP42" s="84">
        <f t="shared" si="35"/>
        <v>0</v>
      </c>
      <c r="BQ42" s="79">
        <f t="shared" si="20"/>
        <v>1800</v>
      </c>
      <c r="BR42" s="132"/>
      <c r="BS42" s="138">
        <f t="shared" si="13"/>
        <v>2.1686746987951806</v>
      </c>
      <c r="BT42" s="195">
        <f t="shared" si="31"/>
        <v>1710</v>
      </c>
      <c r="BU42" s="195">
        <f t="shared" si="21"/>
        <v>58.100000000000009</v>
      </c>
      <c r="BV42" s="140"/>
      <c r="BW42" s="141"/>
      <c r="BX42" s="191">
        <f t="shared" si="25"/>
        <v>1710</v>
      </c>
      <c r="BY42" s="81">
        <f t="shared" si="33"/>
        <v>1800</v>
      </c>
      <c r="BZ42" s="178">
        <f t="shared" si="22"/>
        <v>-90</v>
      </c>
      <c r="CA42" s="180"/>
      <c r="CB42" s="181"/>
      <c r="CC42" s="181"/>
      <c r="CD42" s="181"/>
      <c r="CE42" s="181"/>
    </row>
    <row r="43" spans="1:83" x14ac:dyDescent="0.25">
      <c r="A43" s="20">
        <f t="shared" si="14"/>
        <v>37</v>
      </c>
      <c r="B43" s="107" t="str">
        <f>IF(A43&lt;&gt;"",'EDC - PARAMETRAGE'!$A$3,"")</f>
        <v>GROUPE DEBAYLE</v>
      </c>
      <c r="C43" s="119">
        <f>IF(A43&lt;&gt;"",'EDC - PARAMETRAGE'!$A$6,"")</f>
        <v>42562</v>
      </c>
      <c r="D43" s="185" t="s">
        <v>330</v>
      </c>
      <c r="E43" s="111" t="s">
        <v>334</v>
      </c>
      <c r="F43" s="149">
        <v>154</v>
      </c>
      <c r="G43" s="32"/>
      <c r="H43" s="36" t="str">
        <f t="shared" si="67"/>
        <v>SDC</v>
      </c>
      <c r="I43" s="32" t="s">
        <v>372</v>
      </c>
      <c r="J43" s="32"/>
      <c r="K43" s="127">
        <v>75005</v>
      </c>
      <c r="L43" s="32" t="s">
        <v>376</v>
      </c>
      <c r="M43" s="127"/>
      <c r="N43" s="127"/>
      <c r="O43" s="36" t="str">
        <f t="shared" si="1"/>
        <v>&lt;1500</v>
      </c>
      <c r="P43" s="37"/>
      <c r="Q43" s="128"/>
      <c r="R43" s="115">
        <f t="shared" si="27"/>
        <v>0</v>
      </c>
      <c r="S43" s="170" t="str">
        <f t="shared" si="48"/>
        <v>SDCV</v>
      </c>
      <c r="T43" s="170" t="str">
        <f t="shared" si="49"/>
        <v>0</v>
      </c>
      <c r="U43" s="77">
        <f t="shared" si="16"/>
        <v>0</v>
      </c>
      <c r="V43" s="77">
        <f t="shared" si="4"/>
        <v>0</v>
      </c>
      <c r="W43" s="77">
        <f t="shared" si="5"/>
        <v>0</v>
      </c>
      <c r="X43" s="32"/>
      <c r="Y43" s="127">
        <v>1</v>
      </c>
      <c r="Z43" s="127">
        <v>1</v>
      </c>
      <c r="AA43" s="127">
        <v>8</v>
      </c>
      <c r="AB43" s="32"/>
      <c r="AC43" s="104" t="str">
        <f t="shared" si="6"/>
        <v>NON</v>
      </c>
      <c r="AD43" s="106"/>
      <c r="AE43" s="38"/>
      <c r="AF43" s="36"/>
      <c r="AG43" s="32"/>
      <c r="AH43" s="32"/>
      <c r="AI43" s="127"/>
      <c r="AJ43" s="32"/>
      <c r="AK43" s="150"/>
      <c r="AL43" s="157"/>
      <c r="AM43" s="157"/>
      <c r="AN43" s="162"/>
      <c r="AO43" s="75" t="str">
        <f t="shared" si="28"/>
        <v/>
      </c>
      <c r="AP43" s="40"/>
      <c r="AQ43" s="103"/>
      <c r="AR43" s="40"/>
      <c r="AS43" s="40"/>
      <c r="AT43" s="117"/>
      <c r="AU43" s="40"/>
      <c r="AV43" s="40"/>
      <c r="AW43" s="103"/>
      <c r="AX43" s="103"/>
      <c r="AY43" s="162"/>
      <c r="AZ43" s="38"/>
      <c r="BA43" s="32"/>
      <c r="BB43" s="35" t="str">
        <f t="shared" si="8"/>
        <v>MRI</v>
      </c>
      <c r="BC43" s="114" t="str">
        <f t="shared" si="9"/>
        <v>NON</v>
      </c>
      <c r="BD43" s="35" t="str">
        <f t="shared" si="10"/>
        <v>NON</v>
      </c>
      <c r="BE43" s="37" t="str">
        <f t="shared" si="11"/>
        <v>NON</v>
      </c>
      <c r="BF43" s="38"/>
      <c r="BG43" s="77">
        <f>IF(ISERROR(VLOOKUP(A43,'Tableaux à actualiser'!$A$2:$C$1048576,2,FALSE)),0,VLOOKUP(A43,'Tableaux à actualiser'!$A$2:$C$1048576,2,FALSE))</f>
        <v>0</v>
      </c>
      <c r="BH43" s="78">
        <f>IF(ISERROR(VLOOKUP(A43,'Tableaux à actualiser'!$A$2:$C$1048576,3,FALSE)),0,VLOOKUP(A43,'Tableaux à actualiser'!$A$2:$C$1048576,3,FALSE))</f>
        <v>0</v>
      </c>
      <c r="BI43" s="78">
        <f t="shared" si="17"/>
        <v>0</v>
      </c>
      <c r="BJ43" s="80">
        <f t="shared" si="12"/>
        <v>0</v>
      </c>
      <c r="BK43" s="78">
        <f t="shared" si="40"/>
        <v>0</v>
      </c>
      <c r="BL43" s="78">
        <f t="shared" ref="BL43:BN43" si="70">BK43*0.95</f>
        <v>0</v>
      </c>
      <c r="BM43" s="78">
        <f t="shared" si="70"/>
        <v>0</v>
      </c>
      <c r="BN43" s="78">
        <f t="shared" si="70"/>
        <v>0</v>
      </c>
      <c r="BO43" s="78">
        <f t="shared" si="24"/>
        <v>0</v>
      </c>
      <c r="BP43" s="84">
        <f t="shared" si="35"/>
        <v>0</v>
      </c>
      <c r="BQ43" s="79">
        <f t="shared" si="20"/>
        <v>0</v>
      </c>
      <c r="BR43" s="132"/>
      <c r="BS43" s="138">
        <f t="shared" si="13"/>
        <v>0</v>
      </c>
      <c r="BT43" s="195">
        <f t="shared" si="31"/>
        <v>0</v>
      </c>
      <c r="BU43" s="195">
        <f t="shared" si="21"/>
        <v>0</v>
      </c>
      <c r="BV43" s="140"/>
      <c r="BW43" s="141"/>
      <c r="BX43" s="191">
        <f t="shared" si="25"/>
        <v>0</v>
      </c>
      <c r="BY43" s="81">
        <f t="shared" si="33"/>
        <v>0</v>
      </c>
      <c r="BZ43" s="178">
        <f t="shared" si="22"/>
        <v>0</v>
      </c>
      <c r="CA43" s="180"/>
      <c r="CB43" s="181"/>
      <c r="CC43" s="181"/>
      <c r="CD43" s="181"/>
      <c r="CE43" s="181"/>
    </row>
    <row r="44" spans="1:83" ht="30" x14ac:dyDescent="0.25">
      <c r="A44" s="20">
        <f t="shared" si="14"/>
        <v>38</v>
      </c>
      <c r="B44" s="107" t="str">
        <f>IF(A44&lt;&gt;"",'EDC - PARAMETRAGE'!$A$3,"")</f>
        <v>GROUPE DEBAYLE</v>
      </c>
      <c r="C44" s="119">
        <f>IF(A44&lt;&gt;"",'EDC - PARAMETRAGE'!$A$6,"")</f>
        <v>42562</v>
      </c>
      <c r="D44" s="123" t="s">
        <v>331</v>
      </c>
      <c r="E44" s="111" t="s">
        <v>334</v>
      </c>
      <c r="F44" s="149">
        <v>156</v>
      </c>
      <c r="G44" s="32"/>
      <c r="H44" s="36" t="str">
        <f t="shared" si="67"/>
        <v>SDC</v>
      </c>
      <c r="I44" s="32" t="s">
        <v>373</v>
      </c>
      <c r="J44" s="32" t="s">
        <v>526</v>
      </c>
      <c r="K44" s="127">
        <v>75011</v>
      </c>
      <c r="L44" s="32" t="s">
        <v>376</v>
      </c>
      <c r="M44" s="127"/>
      <c r="N44" s="127"/>
      <c r="O44" s="36" t="str">
        <f t="shared" si="1"/>
        <v>&lt;1500</v>
      </c>
      <c r="P44" s="37"/>
      <c r="Q44" s="128">
        <v>8158</v>
      </c>
      <c r="R44" s="115">
        <f t="shared" si="27"/>
        <v>0</v>
      </c>
      <c r="S44" s="170" t="str">
        <f t="shared" si="48"/>
        <v>SDCV</v>
      </c>
      <c r="T44" s="170" t="str">
        <f t="shared" si="49"/>
        <v>0</v>
      </c>
      <c r="U44" s="77">
        <f t="shared" si="16"/>
        <v>0</v>
      </c>
      <c r="V44" s="77">
        <f t="shared" si="4"/>
        <v>0</v>
      </c>
      <c r="W44" s="77">
        <f t="shared" si="5"/>
        <v>8158</v>
      </c>
      <c r="X44" s="32"/>
      <c r="Y44" s="127">
        <v>1</v>
      </c>
      <c r="Z44" s="127">
        <v>1</v>
      </c>
      <c r="AA44" s="127">
        <v>6</v>
      </c>
      <c r="AB44" s="32" t="s">
        <v>523</v>
      </c>
      <c r="AC44" s="104" t="str">
        <f t="shared" si="6"/>
        <v>NON</v>
      </c>
      <c r="AD44" s="106"/>
      <c r="AE44" s="38" t="s">
        <v>527</v>
      </c>
      <c r="AF44" s="36" t="s">
        <v>276</v>
      </c>
      <c r="AG44" s="32" t="s">
        <v>528</v>
      </c>
      <c r="AH44" s="32"/>
      <c r="AI44" s="127">
        <v>92188</v>
      </c>
      <c r="AJ44" s="32" t="s">
        <v>529</v>
      </c>
      <c r="AK44" s="158" t="s">
        <v>530</v>
      </c>
      <c r="AL44" s="157">
        <v>1</v>
      </c>
      <c r="AM44" s="157" t="s">
        <v>243</v>
      </c>
      <c r="AN44" s="162">
        <v>6526.4</v>
      </c>
      <c r="AO44" s="75" t="str">
        <f t="shared" si="28"/>
        <v/>
      </c>
      <c r="AP44" s="40"/>
      <c r="AQ44" s="103"/>
      <c r="AR44" s="40"/>
      <c r="AS44" s="40"/>
      <c r="AT44" s="117"/>
      <c r="AU44" s="40"/>
      <c r="AV44" s="40"/>
      <c r="AW44" s="103"/>
      <c r="AX44" s="103"/>
      <c r="AY44" s="162"/>
      <c r="AZ44" s="38"/>
      <c r="BA44" s="32"/>
      <c r="BB44" s="35" t="str">
        <f t="shared" si="8"/>
        <v>MRI</v>
      </c>
      <c r="BC44" s="114" t="str">
        <f t="shared" si="9"/>
        <v>NON</v>
      </c>
      <c r="BD44" s="35" t="str">
        <f t="shared" si="10"/>
        <v>NON</v>
      </c>
      <c r="BE44" s="37" t="str">
        <f t="shared" si="11"/>
        <v>NON</v>
      </c>
      <c r="BF44" s="38"/>
      <c r="BG44" s="77">
        <f>IF(ISERROR(VLOOKUP(A44,'Tableaux à actualiser'!$A$2:$C$1048576,2,FALSE)),0,VLOOKUP(A44,'Tableaux à actualiser'!$A$2:$C$1048576,2,FALSE))</f>
        <v>0</v>
      </c>
      <c r="BH44" s="78">
        <f>IF(ISERROR(VLOOKUP(A44,'Tableaux à actualiser'!$A$2:$C$1048576,3,FALSE)),0,VLOOKUP(A44,'Tableaux à actualiser'!$A$2:$C$1048576,3,FALSE))</f>
        <v>0</v>
      </c>
      <c r="BI44" s="78">
        <f t="shared" si="17"/>
        <v>5629.0199999999986</v>
      </c>
      <c r="BJ44" s="80">
        <f t="shared" si="12"/>
        <v>0.68999999999999984</v>
      </c>
      <c r="BK44" s="78">
        <f t="shared" si="40"/>
        <v>4840.9571999999989</v>
      </c>
      <c r="BL44" s="78">
        <f t="shared" ref="BL44:BN44" si="71">BK44*0.95</f>
        <v>4598.9093399999983</v>
      </c>
      <c r="BM44" s="78">
        <f t="shared" si="71"/>
        <v>4368.9638729999979</v>
      </c>
      <c r="BN44" s="78">
        <f t="shared" si="71"/>
        <v>4150.5156793499982</v>
      </c>
      <c r="BO44" s="78">
        <f t="shared" si="24"/>
        <v>17959.346092349995</v>
      </c>
      <c r="BP44" s="84">
        <f t="shared" si="35"/>
        <v>0</v>
      </c>
      <c r="BQ44" s="79">
        <f t="shared" si="20"/>
        <v>6526.4</v>
      </c>
      <c r="BR44" s="132" t="s">
        <v>49</v>
      </c>
      <c r="BS44" s="138">
        <f t="shared" si="13"/>
        <v>0.79999999999999993</v>
      </c>
      <c r="BT44" s="195">
        <f t="shared" si="31"/>
        <v>6200.079999999999</v>
      </c>
      <c r="BU44" s="195">
        <f t="shared" si="21"/>
        <v>571.06000000000006</v>
      </c>
      <c r="BV44" s="140"/>
      <c r="BW44" s="141"/>
      <c r="BX44" s="191">
        <f t="shared" si="25"/>
        <v>6200.079999999999</v>
      </c>
      <c r="BY44" s="81">
        <f t="shared" si="33"/>
        <v>6526.4</v>
      </c>
      <c r="BZ44" s="178">
        <f t="shared" si="22"/>
        <v>-326.32000000000062</v>
      </c>
      <c r="CA44" s="180" t="s">
        <v>531</v>
      </c>
      <c r="CB44" s="181"/>
      <c r="CC44" s="186">
        <v>42668</v>
      </c>
      <c r="CD44" s="186">
        <v>42736</v>
      </c>
      <c r="CE44" s="186">
        <v>42736</v>
      </c>
    </row>
    <row r="45" spans="1:83" x14ac:dyDescent="0.25">
      <c r="A45" s="20">
        <f t="shared" ref="A45:A46" si="72">IF(ISERROR(IF(D45&lt;&gt;"",A44+1,"")),"",IF(D45&lt;&gt;"",A44+1,""))</f>
        <v>39</v>
      </c>
      <c r="B45" s="107" t="str">
        <f>IF(A45&lt;&gt;"",'EDC - PARAMETRAGE'!$A$3,"")</f>
        <v>GROUPE DEBAYLE</v>
      </c>
      <c r="C45" s="119">
        <f>IF(A45&lt;&gt;"",'EDC - PARAMETRAGE'!$A$6,"")</f>
        <v>42562</v>
      </c>
      <c r="D45" s="123" t="s">
        <v>332</v>
      </c>
      <c r="E45" s="111" t="s">
        <v>334</v>
      </c>
      <c r="F45" s="149">
        <v>158</v>
      </c>
      <c r="G45" s="32"/>
      <c r="H45" s="36" t="str">
        <f t="shared" si="67"/>
        <v>SDC</v>
      </c>
      <c r="I45" s="32" t="s">
        <v>374</v>
      </c>
      <c r="J45" s="32"/>
      <c r="K45" s="127">
        <v>92600</v>
      </c>
      <c r="L45" s="32" t="s">
        <v>378</v>
      </c>
      <c r="M45" s="127"/>
      <c r="N45" s="127"/>
      <c r="O45" s="36" t="str">
        <f t="shared" si="1"/>
        <v>&lt;1500</v>
      </c>
      <c r="P45" s="37"/>
      <c r="Q45" s="128">
        <v>3100</v>
      </c>
      <c r="R45" s="115">
        <f t="shared" si="27"/>
        <v>0</v>
      </c>
      <c r="S45" s="170" t="s">
        <v>39</v>
      </c>
      <c r="T45" s="170">
        <v>0.24</v>
      </c>
      <c r="U45" s="77">
        <f t="shared" si="16"/>
        <v>744</v>
      </c>
      <c r="V45" s="77">
        <f t="shared" si="4"/>
        <v>0</v>
      </c>
      <c r="W45" s="77">
        <f t="shared" si="5"/>
        <v>2356</v>
      </c>
      <c r="X45" s="32" t="s">
        <v>524</v>
      </c>
      <c r="Y45" s="127">
        <v>1</v>
      </c>
      <c r="Z45" s="127">
        <v>1</v>
      </c>
      <c r="AA45" s="127">
        <v>6</v>
      </c>
      <c r="AB45" s="32"/>
      <c r="AC45" s="104" t="str">
        <f t="shared" si="6"/>
        <v>NON</v>
      </c>
      <c r="AD45" s="106"/>
      <c r="AE45" s="38" t="s">
        <v>520</v>
      </c>
      <c r="AF45" s="36" t="s">
        <v>19</v>
      </c>
      <c r="AG45" s="32" t="s">
        <v>472</v>
      </c>
      <c r="AH45" s="32"/>
      <c r="AI45" s="127">
        <v>92600</v>
      </c>
      <c r="AJ45" s="32" t="s">
        <v>378</v>
      </c>
      <c r="AK45" s="150" t="s">
        <v>525</v>
      </c>
      <c r="AL45" s="157">
        <v>1</v>
      </c>
      <c r="AM45" s="157" t="s">
        <v>243</v>
      </c>
      <c r="AN45" s="162">
        <v>7726</v>
      </c>
      <c r="AO45" s="75" t="str">
        <f t="shared" si="28"/>
        <v/>
      </c>
      <c r="AP45" s="40"/>
      <c r="AQ45" s="103"/>
      <c r="AR45" s="40"/>
      <c r="AS45" s="40"/>
      <c r="AT45" s="117"/>
      <c r="AU45" s="40"/>
      <c r="AV45" s="40"/>
      <c r="AW45" s="103"/>
      <c r="AX45" s="103"/>
      <c r="AY45" s="162"/>
      <c r="AZ45" s="38"/>
      <c r="BA45" s="32"/>
      <c r="BB45" s="35" t="str">
        <f t="shared" si="8"/>
        <v>MRI</v>
      </c>
      <c r="BC45" s="114" t="str">
        <f t="shared" si="9"/>
        <v>NON</v>
      </c>
      <c r="BD45" s="35" t="str">
        <f t="shared" si="10"/>
        <v>NON</v>
      </c>
      <c r="BE45" s="37" t="str">
        <f t="shared" si="11"/>
        <v>NON</v>
      </c>
      <c r="BF45" s="38"/>
      <c r="BG45" s="77">
        <f>IF(ISERROR(VLOOKUP(A45,'Tableaux à actualiser'!$A$2:$C$1048576,2,FALSE)),0,VLOOKUP(A45,'Tableaux à actualiser'!$A$2:$C$1048576,2,FALSE))</f>
        <v>0</v>
      </c>
      <c r="BH45" s="78">
        <f>IF(ISERROR(VLOOKUP(A45,'Tableaux à actualiser'!$A$2:$C$1048576,3,FALSE)),0,VLOOKUP(A45,'Tableaux à actualiser'!$A$2:$C$1048576,3,FALSE))</f>
        <v>0</v>
      </c>
      <c r="BI45" s="78">
        <f t="shared" si="17"/>
        <v>7122.7</v>
      </c>
      <c r="BJ45" s="80">
        <f t="shared" si="12"/>
        <v>2.2976451612903226</v>
      </c>
      <c r="BK45" s="78">
        <f t="shared" si="40"/>
        <v>6125.5219999999999</v>
      </c>
      <c r="BL45" s="78">
        <f t="shared" ref="BL45:BN45" si="73">BK45*0.95</f>
        <v>5819.2458999999999</v>
      </c>
      <c r="BM45" s="78">
        <f t="shared" si="73"/>
        <v>5528.2836049999996</v>
      </c>
      <c r="BN45" s="78">
        <f t="shared" si="73"/>
        <v>5251.8694247499998</v>
      </c>
      <c r="BO45" s="78">
        <f t="shared" si="24"/>
        <v>22724.920929749998</v>
      </c>
      <c r="BP45" s="84">
        <f t="shared" si="35"/>
        <v>0</v>
      </c>
      <c r="BQ45" s="79">
        <f t="shared" si="20"/>
        <v>7726</v>
      </c>
      <c r="BR45" s="132"/>
      <c r="BS45" s="138">
        <f t="shared" si="13"/>
        <v>2.492258064516129</v>
      </c>
      <c r="BT45" s="195">
        <f t="shared" si="31"/>
        <v>7339.7</v>
      </c>
      <c r="BU45" s="195">
        <f t="shared" si="21"/>
        <v>217.00000000000003</v>
      </c>
      <c r="BV45" s="140"/>
      <c r="BW45" s="141"/>
      <c r="BX45" s="191">
        <f t="shared" si="25"/>
        <v>7339.7</v>
      </c>
      <c r="BY45" s="81">
        <f t="shared" si="33"/>
        <v>7726</v>
      </c>
      <c r="BZ45" s="178">
        <f t="shared" si="22"/>
        <v>-386.30000000000018</v>
      </c>
      <c r="CA45" s="180"/>
      <c r="CB45" s="181"/>
      <c r="CC45" s="181"/>
      <c r="CD45" s="181"/>
      <c r="CE45" s="181"/>
    </row>
    <row r="46" spans="1:83" x14ac:dyDescent="0.25">
      <c r="A46" s="20">
        <f t="shared" si="72"/>
        <v>40</v>
      </c>
      <c r="B46" s="107" t="str">
        <f>IF(A46&lt;&gt;"",'EDC - PARAMETRAGE'!$A$3,"")</f>
        <v>GROUPE DEBAYLE</v>
      </c>
      <c r="C46" s="119">
        <f>IF(A46&lt;&gt;"",'EDC - PARAMETRAGE'!$A$6,"")</f>
        <v>42562</v>
      </c>
      <c r="D46" s="185" t="s">
        <v>333</v>
      </c>
      <c r="E46" s="111" t="s">
        <v>334</v>
      </c>
      <c r="F46" s="149">
        <v>1515</v>
      </c>
      <c r="G46" s="32" t="s">
        <v>532</v>
      </c>
      <c r="H46" s="36" t="str">
        <f t="shared" si="67"/>
        <v>SDC</v>
      </c>
      <c r="I46" s="32" t="s">
        <v>375</v>
      </c>
      <c r="J46" s="32"/>
      <c r="K46" s="127">
        <v>92500</v>
      </c>
      <c r="L46" s="32" t="s">
        <v>379</v>
      </c>
      <c r="M46" s="127"/>
      <c r="N46" s="127"/>
      <c r="O46" s="36" t="str">
        <f t="shared" si="1"/>
        <v>&lt;1500</v>
      </c>
      <c r="P46" s="37"/>
      <c r="Q46" s="128"/>
      <c r="R46" s="115">
        <f t="shared" si="27"/>
        <v>0</v>
      </c>
      <c r="S46" s="170" t="s">
        <v>39</v>
      </c>
      <c r="T46" s="170">
        <v>0.24</v>
      </c>
      <c r="U46" s="77">
        <f t="shared" si="16"/>
        <v>0</v>
      </c>
      <c r="V46" s="77">
        <f t="shared" si="4"/>
        <v>0</v>
      </c>
      <c r="W46" s="77">
        <f t="shared" si="5"/>
        <v>0</v>
      </c>
      <c r="X46" s="32" t="s">
        <v>533</v>
      </c>
      <c r="Y46" s="127">
        <v>1</v>
      </c>
      <c r="Z46" s="127">
        <v>1</v>
      </c>
      <c r="AA46" s="127">
        <v>5</v>
      </c>
      <c r="AB46" s="32"/>
      <c r="AC46" s="104" t="str">
        <f t="shared" si="6"/>
        <v>NON</v>
      </c>
      <c r="AD46" s="106"/>
      <c r="AE46" s="38"/>
      <c r="AF46" s="36" t="s">
        <v>21</v>
      </c>
      <c r="AG46" s="32"/>
      <c r="AH46" s="32"/>
      <c r="AI46" s="127"/>
      <c r="AJ46" s="32"/>
      <c r="AK46" s="150"/>
      <c r="AL46" s="157">
        <v>1</v>
      </c>
      <c r="AM46" s="157" t="s">
        <v>254</v>
      </c>
      <c r="AN46" s="162">
        <v>1618</v>
      </c>
      <c r="AO46" s="75" t="str">
        <f t="shared" si="28"/>
        <v/>
      </c>
      <c r="AP46" s="40"/>
      <c r="AQ46" s="103"/>
      <c r="AR46" s="40"/>
      <c r="AS46" s="40"/>
      <c r="AT46" s="117"/>
      <c r="AU46" s="40"/>
      <c r="AV46" s="40"/>
      <c r="AW46" s="103"/>
      <c r="AX46" s="103"/>
      <c r="AY46" s="162"/>
      <c r="AZ46" s="38"/>
      <c r="BA46" s="32"/>
      <c r="BB46" s="35" t="str">
        <f t="shared" si="8"/>
        <v>MRI</v>
      </c>
      <c r="BC46" s="114" t="str">
        <f t="shared" si="9"/>
        <v>NON</v>
      </c>
      <c r="BD46" s="35" t="str">
        <f t="shared" si="10"/>
        <v>NON</v>
      </c>
      <c r="BE46" s="37" t="str">
        <f t="shared" si="11"/>
        <v>NON</v>
      </c>
      <c r="BF46" s="38"/>
      <c r="BG46" s="77">
        <f>IF(ISERROR(VLOOKUP(A46,'Tableaux à actualiser'!$A$2:$C$1048576,2,FALSE)),0,VLOOKUP(A46,'Tableaux à actualiser'!$A$2:$C$1048576,2,FALSE))</f>
        <v>0</v>
      </c>
      <c r="BH46" s="78">
        <f>IF(ISERROR(VLOOKUP(A46,'Tableaux à actualiser'!$A$2:$C$1048576,3,FALSE)),0,VLOOKUP(A46,'Tableaux à actualiser'!$A$2:$C$1048576,3,FALSE))</f>
        <v>0</v>
      </c>
      <c r="BI46" s="78">
        <f t="shared" si="17"/>
        <v>1537.1</v>
      </c>
      <c r="BJ46" s="80">
        <f t="shared" si="12"/>
        <v>0</v>
      </c>
      <c r="BK46" s="78">
        <f t="shared" si="40"/>
        <v>1321.9059999999999</v>
      </c>
      <c r="BL46" s="78">
        <f t="shared" ref="BL46:BN46" si="74">BK46*0.95</f>
        <v>1255.8107</v>
      </c>
      <c r="BM46" s="78">
        <f t="shared" si="74"/>
        <v>1193.0201649999999</v>
      </c>
      <c r="BN46" s="78">
        <f t="shared" si="74"/>
        <v>1133.3691567499998</v>
      </c>
      <c r="BO46" s="78">
        <f t="shared" si="24"/>
        <v>4904.1060217499999</v>
      </c>
      <c r="BP46" s="84">
        <f t="shared" si="35"/>
        <v>0</v>
      </c>
      <c r="BQ46" s="79">
        <f t="shared" si="20"/>
        <v>1618</v>
      </c>
      <c r="BR46" s="132"/>
      <c r="BS46" s="138">
        <f t="shared" si="13"/>
        <v>0</v>
      </c>
      <c r="BT46" s="195">
        <f t="shared" si="31"/>
        <v>1537.1</v>
      </c>
      <c r="BU46" s="195">
        <f t="shared" si="21"/>
        <v>0</v>
      </c>
      <c r="BV46" s="140"/>
      <c r="BW46" s="141"/>
      <c r="BX46" s="191">
        <f t="shared" si="25"/>
        <v>1537.1</v>
      </c>
      <c r="BY46" s="81">
        <f t="shared" si="33"/>
        <v>1618</v>
      </c>
      <c r="BZ46" s="178">
        <f t="shared" si="22"/>
        <v>-80.900000000000091</v>
      </c>
      <c r="CA46" s="180"/>
      <c r="CB46" s="181"/>
      <c r="CC46" s="181"/>
      <c r="CD46" s="181"/>
      <c r="CE46" s="181"/>
    </row>
    <row r="47" spans="1:83" ht="45" x14ac:dyDescent="0.25">
      <c r="A47" s="20">
        <f t="shared" si="14"/>
        <v>41</v>
      </c>
      <c r="B47" s="107" t="str">
        <f>IF(A47&lt;&gt;"",'EDC - PARAMETRAGE'!$A$3,"")</f>
        <v>GROUPE DEBAYLE</v>
      </c>
      <c r="C47" s="119">
        <f>IF(A47&lt;&gt;"",'EDC - PARAMETRAGE'!$A$6,"")</f>
        <v>42562</v>
      </c>
      <c r="D47" s="123" t="s">
        <v>506</v>
      </c>
      <c r="E47" s="111" t="s">
        <v>334</v>
      </c>
      <c r="F47" s="149">
        <v>157</v>
      </c>
      <c r="G47" s="32"/>
      <c r="H47" s="36" t="str">
        <f t="shared" si="67"/>
        <v>SDC</v>
      </c>
      <c r="I47" s="32" t="s">
        <v>507</v>
      </c>
      <c r="J47" s="32"/>
      <c r="K47" s="127">
        <v>75015</v>
      </c>
      <c r="L47" s="32" t="s">
        <v>376</v>
      </c>
      <c r="M47" s="127"/>
      <c r="N47" s="127"/>
      <c r="O47" s="36" t="str">
        <f t="shared" si="1"/>
        <v>&lt;1500</v>
      </c>
      <c r="P47" s="37"/>
      <c r="Q47" s="128">
        <v>675</v>
      </c>
      <c r="R47" s="115">
        <f t="shared" si="27"/>
        <v>0</v>
      </c>
      <c r="S47" s="170" t="str">
        <f t="shared" si="48"/>
        <v>SDCV</v>
      </c>
      <c r="T47" s="170" t="str">
        <f t="shared" si="49"/>
        <v>0</v>
      </c>
      <c r="U47" s="77">
        <f t="shared" si="16"/>
        <v>0</v>
      </c>
      <c r="V47" s="77">
        <f t="shared" si="4"/>
        <v>0</v>
      </c>
      <c r="W47" s="77">
        <f t="shared" si="5"/>
        <v>675</v>
      </c>
      <c r="X47" s="32"/>
      <c r="Y47" s="127">
        <v>1</v>
      </c>
      <c r="Z47" s="127">
        <v>1</v>
      </c>
      <c r="AA47" s="127">
        <v>6</v>
      </c>
      <c r="AB47" s="32"/>
      <c r="AC47" s="104" t="str">
        <f t="shared" si="6"/>
        <v>NON</v>
      </c>
      <c r="AD47" s="106"/>
      <c r="AE47" s="38" t="s">
        <v>510</v>
      </c>
      <c r="AF47" s="36" t="s">
        <v>260</v>
      </c>
      <c r="AG47" s="32" t="s">
        <v>511</v>
      </c>
      <c r="AH47" s="32"/>
      <c r="AI47" s="127">
        <v>94300</v>
      </c>
      <c r="AJ47" s="32" t="s">
        <v>512</v>
      </c>
      <c r="AK47" s="158">
        <v>3475221704</v>
      </c>
      <c r="AL47" s="157">
        <v>1</v>
      </c>
      <c r="AM47" s="157" t="s">
        <v>243</v>
      </c>
      <c r="AN47" s="162">
        <v>3257</v>
      </c>
      <c r="AO47" s="75" t="str">
        <f t="shared" si="28"/>
        <v/>
      </c>
      <c r="AP47" s="40"/>
      <c r="AQ47" s="103"/>
      <c r="AR47" s="40"/>
      <c r="AS47" s="40"/>
      <c r="AT47" s="117"/>
      <c r="AU47" s="40"/>
      <c r="AV47" s="40"/>
      <c r="AW47" s="103"/>
      <c r="AX47" s="103"/>
      <c r="AY47" s="162"/>
      <c r="AZ47" s="38"/>
      <c r="BA47" s="32"/>
      <c r="BB47" s="35" t="str">
        <f t="shared" si="8"/>
        <v>MRI</v>
      </c>
      <c r="BC47" s="114" t="str">
        <f t="shared" si="9"/>
        <v>NON</v>
      </c>
      <c r="BD47" s="35" t="str">
        <f t="shared" si="10"/>
        <v>NON</v>
      </c>
      <c r="BE47" s="37" t="str">
        <f t="shared" si="11"/>
        <v>NON</v>
      </c>
      <c r="BF47" s="38"/>
      <c r="BG47" s="77">
        <f>IF(ISERROR(VLOOKUP(A47,'Tableaux à actualiser'!$A$2:$C$1048576,2,FALSE)),0,VLOOKUP(A47,'Tableaux à actualiser'!$A$2:$C$1048576,2,FALSE))</f>
        <v>0</v>
      </c>
      <c r="BH47" s="78">
        <f>IF(ISERROR(VLOOKUP(A47,'Tableaux à actualiser'!$A$2:$C$1048576,3,FALSE)),0,VLOOKUP(A47,'Tableaux à actualiser'!$A$2:$C$1048576,3,FALSE))</f>
        <v>0</v>
      </c>
      <c r="BI47" s="78">
        <f t="shared" si="17"/>
        <v>3046.8999999999996</v>
      </c>
      <c r="BJ47" s="80">
        <f t="shared" si="12"/>
        <v>4.5139259259259257</v>
      </c>
      <c r="BK47" s="78">
        <f t="shared" si="40"/>
        <v>2620.3339999999998</v>
      </c>
      <c r="BL47" s="78">
        <f t="shared" ref="BL47:BN47" si="75">BK47*0.95</f>
        <v>2489.3172999999997</v>
      </c>
      <c r="BM47" s="78">
        <f t="shared" si="75"/>
        <v>2364.8514349999996</v>
      </c>
      <c r="BN47" s="78">
        <f t="shared" si="75"/>
        <v>2246.6088632499996</v>
      </c>
      <c r="BO47" s="78">
        <f t="shared" si="24"/>
        <v>9721.1115982499978</v>
      </c>
      <c r="BP47" s="84">
        <f t="shared" si="35"/>
        <v>0</v>
      </c>
      <c r="BQ47" s="79">
        <f t="shared" si="20"/>
        <v>3257</v>
      </c>
      <c r="BR47" s="132"/>
      <c r="BS47" s="138">
        <f t="shared" si="13"/>
        <v>4.8251851851851848</v>
      </c>
      <c r="BT47" s="195">
        <f t="shared" si="31"/>
        <v>3094.1499999999996</v>
      </c>
      <c r="BU47" s="195">
        <f t="shared" si="21"/>
        <v>47.250000000000007</v>
      </c>
      <c r="BV47" s="140"/>
      <c r="BW47" s="141"/>
      <c r="BX47" s="191">
        <f t="shared" si="25"/>
        <v>3094.1499999999996</v>
      </c>
      <c r="BY47" s="81">
        <f t="shared" si="33"/>
        <v>3257</v>
      </c>
      <c r="BZ47" s="178">
        <f t="shared" si="22"/>
        <v>-162.85000000000036</v>
      </c>
      <c r="CA47" s="180" t="s">
        <v>513</v>
      </c>
      <c r="CB47" s="181"/>
      <c r="CC47" s="181"/>
      <c r="CD47" s="181"/>
      <c r="CE47" s="181"/>
    </row>
    <row r="48" spans="1:83" x14ac:dyDescent="0.25">
      <c r="A48" s="20">
        <f t="shared" si="14"/>
        <v>42</v>
      </c>
      <c r="B48" s="107" t="str">
        <f>IF(A48&lt;&gt;"",'EDC - PARAMETRAGE'!$A$3,"")</f>
        <v>GROUPE DEBAYLE</v>
      </c>
      <c r="C48" s="119">
        <f>IF(A48&lt;&gt;"",'EDC - PARAMETRAGE'!$A$6,"")</f>
        <v>42562</v>
      </c>
      <c r="D48" s="123" t="s">
        <v>508</v>
      </c>
      <c r="E48" s="111" t="s">
        <v>334</v>
      </c>
      <c r="F48" s="149">
        <v>159</v>
      </c>
      <c r="G48" s="32"/>
      <c r="H48" s="36" t="str">
        <f t="shared" si="67"/>
        <v>SDC</v>
      </c>
      <c r="I48" s="32" t="s">
        <v>509</v>
      </c>
      <c r="J48" s="32"/>
      <c r="K48" s="127">
        <v>75009</v>
      </c>
      <c r="L48" s="32" t="s">
        <v>376</v>
      </c>
      <c r="M48" s="127"/>
      <c r="N48" s="127"/>
      <c r="O48" s="36" t="str">
        <f t="shared" si="1"/>
        <v>&lt;1500</v>
      </c>
      <c r="P48" s="37"/>
      <c r="Q48" s="128">
        <v>1216</v>
      </c>
      <c r="R48" s="115">
        <f t="shared" si="27"/>
        <v>0</v>
      </c>
      <c r="S48" s="170" t="str">
        <f t="shared" si="48"/>
        <v>SDCV</v>
      </c>
      <c r="T48" s="170" t="str">
        <f t="shared" si="49"/>
        <v>0</v>
      </c>
      <c r="U48" s="77">
        <f t="shared" si="16"/>
        <v>0</v>
      </c>
      <c r="V48" s="77">
        <f t="shared" si="4"/>
        <v>0</v>
      </c>
      <c r="W48" s="77">
        <f t="shared" si="5"/>
        <v>1216</v>
      </c>
      <c r="X48" s="32"/>
      <c r="Y48" s="127">
        <v>1</v>
      </c>
      <c r="Z48" s="127">
        <v>1</v>
      </c>
      <c r="AA48" s="127">
        <v>7</v>
      </c>
      <c r="AB48" s="32"/>
      <c r="AC48" s="104" t="str">
        <f t="shared" si="6"/>
        <v>NON</v>
      </c>
      <c r="AD48" s="106"/>
      <c r="AE48" s="38" t="s">
        <v>514</v>
      </c>
      <c r="AF48" s="36" t="s">
        <v>260</v>
      </c>
      <c r="AG48" s="32"/>
      <c r="AH48" s="32"/>
      <c r="AI48" s="127"/>
      <c r="AJ48" s="32"/>
      <c r="AK48" s="32">
        <v>338720204</v>
      </c>
      <c r="AL48" s="36">
        <v>1</v>
      </c>
      <c r="AM48" s="36" t="s">
        <v>243</v>
      </c>
      <c r="AN48" s="162">
        <v>2826</v>
      </c>
      <c r="AO48" s="75" t="str">
        <f t="shared" si="28"/>
        <v/>
      </c>
      <c r="AP48" s="40"/>
      <c r="AQ48" s="103"/>
      <c r="AR48" s="40"/>
      <c r="AS48" s="40"/>
      <c r="AT48" s="117"/>
      <c r="AU48" s="40"/>
      <c r="AV48" s="40"/>
      <c r="AW48" s="103"/>
      <c r="AX48" s="103"/>
      <c r="AY48" s="41"/>
      <c r="AZ48" s="38"/>
      <c r="BA48" s="32"/>
      <c r="BB48" s="35" t="str">
        <f t="shared" si="8"/>
        <v>MRI</v>
      </c>
      <c r="BC48" s="114" t="str">
        <f t="shared" si="9"/>
        <v>NON</v>
      </c>
      <c r="BD48" s="35" t="str">
        <f t="shared" si="10"/>
        <v>NON</v>
      </c>
      <c r="BE48" s="37" t="str">
        <f t="shared" si="11"/>
        <v>NON</v>
      </c>
      <c r="BF48" s="38"/>
      <c r="BG48" s="77">
        <f>IF(ISERROR(VLOOKUP(A48,'Tableaux à actualiser'!$A$2:$C$1048576,2,FALSE)),0,VLOOKUP(A48,'Tableaux à actualiser'!$A$2:$C$1048576,2,FALSE))</f>
        <v>0</v>
      </c>
      <c r="BH48" s="78">
        <f>IF(ISERROR(VLOOKUP(A48,'Tableaux à actualiser'!$A$2:$C$1048576,3,FALSE)),0,VLOOKUP(A48,'Tableaux à actualiser'!$A$2:$C$1048576,3,FALSE))</f>
        <v>0</v>
      </c>
      <c r="BI48" s="78">
        <f t="shared" si="17"/>
        <v>2599.58</v>
      </c>
      <c r="BJ48" s="80">
        <f t="shared" si="12"/>
        <v>2.1378124999999999</v>
      </c>
      <c r="BK48" s="78">
        <f t="shared" si="40"/>
        <v>2235.6387999999997</v>
      </c>
      <c r="BL48" s="78">
        <f t="shared" ref="BL48:BN48" si="76">BK48*0.95</f>
        <v>2123.8568599999994</v>
      </c>
      <c r="BM48" s="78">
        <f t="shared" si="76"/>
        <v>2017.6640169999994</v>
      </c>
      <c r="BN48" s="78">
        <f t="shared" si="76"/>
        <v>1916.7808161499993</v>
      </c>
      <c r="BO48" s="78">
        <f t="shared" si="24"/>
        <v>8293.9404931499976</v>
      </c>
      <c r="BP48" s="84">
        <f t="shared" si="35"/>
        <v>0</v>
      </c>
      <c r="BQ48" s="79">
        <f t="shared" si="20"/>
        <v>2826</v>
      </c>
      <c r="BR48" s="132"/>
      <c r="BS48" s="138">
        <f t="shared" si="13"/>
        <v>2.3240131578947367</v>
      </c>
      <c r="BT48" s="195">
        <f t="shared" si="31"/>
        <v>2684.7</v>
      </c>
      <c r="BU48" s="195">
        <f t="shared" si="21"/>
        <v>85.12</v>
      </c>
      <c r="BV48" s="140"/>
      <c r="BW48" s="141"/>
      <c r="BX48" s="191">
        <f t="shared" si="25"/>
        <v>2684.7</v>
      </c>
      <c r="BY48" s="81">
        <f t="shared" si="33"/>
        <v>2826</v>
      </c>
      <c r="BZ48" s="178">
        <f t="shared" si="22"/>
        <v>-141.30000000000018</v>
      </c>
      <c r="CA48" s="180"/>
      <c r="CB48" s="181"/>
      <c r="CC48" s="181"/>
      <c r="CD48" s="181"/>
      <c r="CE48" s="181"/>
    </row>
    <row r="49" spans="1:83" ht="30" x14ac:dyDescent="0.25">
      <c r="A49" s="20">
        <f t="shared" si="14"/>
        <v>43</v>
      </c>
      <c r="B49" s="107" t="str">
        <f>IF(A49&lt;&gt;"",'EDC - PARAMETRAGE'!$A$3,"")</f>
        <v>GROUPE DEBAYLE</v>
      </c>
      <c r="C49" s="119">
        <f>IF(A49&lt;&gt;"",'EDC - PARAMETRAGE'!$A$6,"")</f>
        <v>42562</v>
      </c>
      <c r="D49" s="123" t="s">
        <v>515</v>
      </c>
      <c r="E49" s="111" t="s">
        <v>334</v>
      </c>
      <c r="F49" s="149">
        <v>155</v>
      </c>
      <c r="G49" s="32"/>
      <c r="H49" s="36" t="str">
        <f t="shared" si="67"/>
        <v>SDC</v>
      </c>
      <c r="I49" s="32" t="s">
        <v>516</v>
      </c>
      <c r="J49" s="32"/>
      <c r="K49" s="127">
        <v>75017</v>
      </c>
      <c r="L49" s="32" t="s">
        <v>376</v>
      </c>
      <c r="M49" s="127"/>
      <c r="N49" s="127"/>
      <c r="O49" s="36" t="str">
        <f t="shared" si="1"/>
        <v>&lt;1500</v>
      </c>
      <c r="P49" s="37"/>
      <c r="Q49" s="128">
        <v>1575</v>
      </c>
      <c r="R49" s="115">
        <f t="shared" si="27"/>
        <v>0</v>
      </c>
      <c r="S49" s="170" t="str">
        <f t="shared" si="48"/>
        <v>SDCV</v>
      </c>
      <c r="T49" s="170" t="str">
        <f t="shared" si="49"/>
        <v>0</v>
      </c>
      <c r="U49" s="77">
        <f t="shared" si="16"/>
        <v>0</v>
      </c>
      <c r="V49" s="77">
        <f t="shared" si="4"/>
        <v>0</v>
      </c>
      <c r="W49" s="77">
        <f t="shared" si="5"/>
        <v>1575</v>
      </c>
      <c r="X49" s="32"/>
      <c r="Y49" s="127">
        <v>1</v>
      </c>
      <c r="Z49" s="127">
        <v>1</v>
      </c>
      <c r="AA49" s="127">
        <v>6</v>
      </c>
      <c r="AB49" s="32"/>
      <c r="AC49" s="104" t="str">
        <f t="shared" si="6"/>
        <v>NON</v>
      </c>
      <c r="AD49" s="106"/>
      <c r="AE49" s="38" t="s">
        <v>436</v>
      </c>
      <c r="AF49" s="36" t="s">
        <v>276</v>
      </c>
      <c r="AG49" s="32"/>
      <c r="AH49" s="32"/>
      <c r="AI49" s="127"/>
      <c r="AJ49" s="32"/>
      <c r="AK49" s="32" t="s">
        <v>517</v>
      </c>
      <c r="AL49" s="36">
        <v>1</v>
      </c>
      <c r="AM49" s="36" t="s">
        <v>250</v>
      </c>
      <c r="AN49" s="162">
        <v>4725</v>
      </c>
      <c r="AO49" s="75" t="str">
        <f t="shared" si="28"/>
        <v/>
      </c>
      <c r="AP49" s="40"/>
      <c r="AQ49" s="103"/>
      <c r="AR49" s="40"/>
      <c r="AS49" s="40"/>
      <c r="AT49" s="117"/>
      <c r="AU49" s="40"/>
      <c r="AV49" s="40"/>
      <c r="AW49" s="103"/>
      <c r="AX49" s="103"/>
      <c r="AY49" s="41"/>
      <c r="AZ49" s="38"/>
      <c r="BA49" s="32"/>
      <c r="BB49" s="35" t="str">
        <f t="shared" si="8"/>
        <v>MRI</v>
      </c>
      <c r="BC49" s="114" t="str">
        <f t="shared" si="9"/>
        <v>NON</v>
      </c>
      <c r="BD49" s="35" t="str">
        <f t="shared" si="10"/>
        <v>NON</v>
      </c>
      <c r="BE49" s="37" t="str">
        <f t="shared" si="11"/>
        <v>NON</v>
      </c>
      <c r="BF49" s="38"/>
      <c r="BG49" s="77">
        <f>IF(ISERROR(VLOOKUP(A49,'Tableaux à actualiser'!$A$2:$C$1048576,2,FALSE)),0,VLOOKUP(A49,'Tableaux à actualiser'!$A$2:$C$1048576,2,FALSE))</f>
        <v>0</v>
      </c>
      <c r="BH49" s="78">
        <f>IF(ISERROR(VLOOKUP(A49,'Tableaux à actualiser'!$A$2:$C$1048576,3,FALSE)),0,VLOOKUP(A49,'Tableaux à actualiser'!$A$2:$C$1048576,3,FALSE))</f>
        <v>0</v>
      </c>
      <c r="BI49" s="78">
        <f t="shared" si="17"/>
        <v>4378.5</v>
      </c>
      <c r="BJ49" s="80">
        <f t="shared" si="12"/>
        <v>2.78</v>
      </c>
      <c r="BK49" s="78">
        <f t="shared" si="40"/>
        <v>3765.5099999999998</v>
      </c>
      <c r="BL49" s="78">
        <f t="shared" ref="BL49:BN49" si="77">BK49*0.95</f>
        <v>3577.2344999999996</v>
      </c>
      <c r="BM49" s="78">
        <f t="shared" si="77"/>
        <v>3398.3727749999994</v>
      </c>
      <c r="BN49" s="78">
        <f t="shared" si="77"/>
        <v>3228.4541362499995</v>
      </c>
      <c r="BO49" s="78">
        <f t="shared" si="24"/>
        <v>13969.571411249999</v>
      </c>
      <c r="BP49" s="84">
        <f t="shared" si="35"/>
        <v>0</v>
      </c>
      <c r="BQ49" s="79">
        <f t="shared" si="20"/>
        <v>4725</v>
      </c>
      <c r="BR49" s="132"/>
      <c r="BS49" s="138">
        <f t="shared" si="13"/>
        <v>3</v>
      </c>
      <c r="BT49" s="195">
        <f t="shared" si="31"/>
        <v>4488.75</v>
      </c>
      <c r="BU49" s="195">
        <f t="shared" si="21"/>
        <v>110.25000000000001</v>
      </c>
      <c r="BV49" s="140"/>
      <c r="BW49" s="141"/>
      <c r="BX49" s="191">
        <f t="shared" si="25"/>
        <v>4488.75</v>
      </c>
      <c r="BY49" s="81">
        <f t="shared" si="33"/>
        <v>4725</v>
      </c>
      <c r="BZ49" s="178">
        <f t="shared" si="22"/>
        <v>-236.25</v>
      </c>
      <c r="CA49" s="180" t="s">
        <v>518</v>
      </c>
      <c r="CB49" s="181"/>
      <c r="CC49" s="181"/>
      <c r="CD49" s="181"/>
      <c r="CE49" s="181"/>
    </row>
  </sheetData>
  <sheetProtection formatColumns="0" formatRows="0" autoFilter="0"/>
  <autoFilter ref="A6:DP6"/>
  <mergeCells count="10">
    <mergeCell ref="A5:D5"/>
    <mergeCell ref="E5:P5"/>
    <mergeCell ref="BY5:BZ5"/>
    <mergeCell ref="Q5:AC5"/>
    <mergeCell ref="AE5:AN5"/>
    <mergeCell ref="AO5:AY5"/>
    <mergeCell ref="AZ5:BB5"/>
    <mergeCell ref="BC5:BE5"/>
    <mergeCell ref="BS5:BX5"/>
    <mergeCell ref="BF5:BR5"/>
  </mergeCells>
  <conditionalFormatting sqref="R7:R46">
    <cfRule type="expression" dxfId="14" priority="16">
      <formula>OR(R7&lt;49,R7&gt;91)</formula>
    </cfRule>
    <cfRule type="expression" dxfId="13" priority="17">
      <formula>OR(AND(R7&gt;=49,R7&lt;56),AND(R7&gt;=84,R7&lt;91))</formula>
    </cfRule>
  </conditionalFormatting>
  <conditionalFormatting sqref="R7:R10">
    <cfRule type="expression" dxfId="12" priority="18">
      <formula>OR(R7&gt;=56,R7&lt;=84)</formula>
    </cfRule>
  </conditionalFormatting>
  <conditionalFormatting sqref="R48">
    <cfRule type="expression" dxfId="11" priority="12">
      <formula>OR(R48&lt;49,R48&gt;91)</formula>
    </cfRule>
    <cfRule type="expression" dxfId="10" priority="13">
      <formula>OR(AND(R48&gt;=49,R48&lt;56),AND(R48&gt;=84,R48&lt;91))</formula>
    </cfRule>
  </conditionalFormatting>
  <conditionalFormatting sqref="R48 R11:R46">
    <cfRule type="expression" dxfId="9" priority="14">
      <formula>OR(R11&gt;=56,R11&lt;=84)</formula>
    </cfRule>
  </conditionalFormatting>
  <conditionalFormatting sqref="R3">
    <cfRule type="expression" dxfId="8" priority="9">
      <formula>OR(R7&gt;=56,R7&lt;=84)</formula>
    </cfRule>
    <cfRule type="expression" dxfId="7" priority="10">
      <formula>OR(AND(R7&gt;=49,R7&lt;56),AND(R7&gt;=84,R7&lt;91))</formula>
    </cfRule>
    <cfRule type="expression" dxfId="6" priority="11">
      <formula>OR(R3&lt;49,R3&gt;91)</formula>
    </cfRule>
  </conditionalFormatting>
  <conditionalFormatting sqref="R47">
    <cfRule type="expression" dxfId="5" priority="5">
      <formula>OR(R47&lt;49,R47&gt;91)</formula>
    </cfRule>
    <cfRule type="expression" dxfId="4" priority="6">
      <formula>OR(AND(R47&gt;=49,R47&lt;56),AND(R47&gt;=84,R47&lt;91))</formula>
    </cfRule>
  </conditionalFormatting>
  <conditionalFormatting sqref="R47">
    <cfRule type="expression" dxfId="3" priority="7">
      <formula>OR(R47&gt;=56,R47&lt;=84)</formula>
    </cfRule>
  </conditionalFormatting>
  <conditionalFormatting sqref="R49">
    <cfRule type="expression" dxfId="2" priority="1">
      <formula>OR(R49&lt;49,R49&gt;91)</formula>
    </cfRule>
    <cfRule type="expression" dxfId="1" priority="2">
      <formula>OR(AND(R49&gt;=49,R49&lt;56),AND(R49&gt;=84,R49&lt;91))</formula>
    </cfRule>
  </conditionalFormatting>
  <conditionalFormatting sqref="R49">
    <cfRule type="expression" dxfId="0" priority="3">
      <formula>OR(R49&gt;=56,R49&lt;=84)</formula>
    </cfRule>
  </conditionalFormatting>
  <dataValidations count="10">
    <dataValidation type="whole" allowBlank="1" showInputMessage="1" showErrorMessage="1" sqref="BT50:BW1048576">
      <formula1>0</formula1>
      <formula2>9.99999999999999E+33</formula2>
    </dataValidation>
    <dataValidation type="date" allowBlank="1" showInputMessage="1" showErrorMessage="1" sqref="C7:C49">
      <formula1>42005</formula1>
      <formula2>44196</formula2>
    </dataValidation>
    <dataValidation type="decimal" allowBlank="1" showInputMessage="1" showErrorMessage="1" sqref="BT7:BW49">
      <formula1>0</formula1>
      <formula2>9.99999999999999E+55</formula2>
    </dataValidation>
    <dataValidation type="whole" allowBlank="1" showInputMessage="1" showErrorMessage="1" sqref="M7:M1048576">
      <formula1>0</formula1>
      <formula2>1000000</formula2>
    </dataValidation>
    <dataValidation type="whole" allowBlank="1" showInputMessage="1" showErrorMessage="1" sqref="K7:K1048576 AT7:AT1048576 AI7:AI1048576">
      <formula1>1000</formula1>
      <formula2>99999</formula2>
    </dataValidation>
    <dataValidation type="whole" allowBlank="1" showInputMessage="1" showErrorMessage="1" sqref="N7:N1048576">
      <formula1>1600</formula1>
      <formula2>2016</formula2>
    </dataValidation>
    <dataValidation type="whole" allowBlank="1" showInputMessage="1" showErrorMessage="1" sqref="Y7:AA1048576">
      <formula1>0</formula1>
      <formula2>100000</formula2>
    </dataValidation>
    <dataValidation type="decimal" allowBlank="1" showInputMessage="1" showErrorMessage="1" sqref="Q7:Q1048576">
      <formula1>0</formula1>
      <formula2>1000000000</formula2>
    </dataValidation>
    <dataValidation type="decimal" allowBlank="1" showInputMessage="1" showErrorMessage="1" sqref="AN7:AN1048576">
      <formula1>0</formula1>
      <formula2>9.99999999999999E+28</formula2>
    </dataValidation>
    <dataValidation type="decimal" allowBlank="1" showInputMessage="1" showErrorMessage="1" sqref="AY7:AY1048576">
      <formula1>0</formula1>
      <formula2>9.99999999999999E+25</formula2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" id="{0F2EE340-832E-484D-B49B-221D41CB2CEB}">
            <x14:iconSet iconSet="3TrafficLights2" custom="1">
              <x14:cfvo type="percent">
                <xm:f>0</xm:f>
              </x14:cfvo>
              <x14:cfvo type="num">
                <xm:f>0.5</xm:f>
              </x14:cfvo>
              <x14:cfvo type="num">
                <xm:f>0.7</xm:f>
              </x14:cfvo>
              <x14:cfIcon iconSet="3TrafficLights2" iconId="2"/>
              <x14:cfIcon iconSet="3TrafficLights2" iconId="1"/>
              <x14:cfIcon iconSet="3TrafficLights2" iconId="0"/>
            </x14:iconSet>
          </x14:cfRule>
          <xm:sqref>BP3</xm:sqref>
        </x14:conditionalFormatting>
        <x14:conditionalFormatting xmlns:xm="http://schemas.microsoft.com/office/excel/2006/main">
          <x14:cfRule type="iconSet" priority="8" id="{8BA7D107-E957-4729-9DA8-5A5FD31BF633}">
            <x14:iconSet iconSet="3TrafficLights2" custom="1">
              <x14:cfvo type="percent">
                <xm:f>0</xm:f>
              </x14:cfvo>
              <x14:cfvo type="num">
                <xm:f>0.5</xm:f>
              </x14:cfvo>
              <x14:cfvo type="num">
                <xm:f>0.7</xm:f>
              </x14:cfvo>
              <x14:cfIcon iconSet="3TrafficLights2" iconId="2"/>
              <x14:cfIcon iconSet="3TrafficLights2" iconId="1"/>
              <x14:cfIcon iconSet="3TrafficLights2" iconId="0"/>
            </x14:iconSet>
          </x14:cfRule>
          <xm:sqref>BP47</xm:sqref>
        </x14:conditionalFormatting>
        <x14:conditionalFormatting xmlns:xm="http://schemas.microsoft.com/office/excel/2006/main">
          <x14:cfRule type="iconSet" priority="4" id="{75ABB302-D351-440E-A268-B56F92967965}">
            <x14:iconSet iconSet="3TrafficLights2" custom="1">
              <x14:cfvo type="percent">
                <xm:f>0</xm:f>
              </x14:cfvo>
              <x14:cfvo type="num">
                <xm:f>0.5</xm:f>
              </x14:cfvo>
              <x14:cfvo type="num">
                <xm:f>0.7</xm:f>
              </x14:cfvo>
              <x14:cfIcon iconSet="3TrafficLights2" iconId="2"/>
              <x14:cfIcon iconSet="3TrafficLights2" iconId="1"/>
              <x14:cfIcon iconSet="3TrafficLights2" iconId="0"/>
            </x14:iconSet>
          </x14:cfRule>
          <xm:sqref>BP49</xm:sqref>
        </x14:conditionalFormatting>
        <x14:conditionalFormatting xmlns:xm="http://schemas.microsoft.com/office/excel/2006/main">
          <x14:cfRule type="iconSet" priority="23" id="{DE9B7DC4-4047-412F-B08C-CC303AEBDF23}">
            <x14:iconSet iconSet="3TrafficLights2" custom="1">
              <x14:cfvo type="percent">
                <xm:f>0</xm:f>
              </x14:cfvo>
              <x14:cfvo type="num">
                <xm:f>0.5</xm:f>
              </x14:cfvo>
              <x14:cfvo type="num">
                <xm:f>0.7</xm:f>
              </x14:cfvo>
              <x14:cfIcon iconSet="3TrafficLights2" iconId="2"/>
              <x14:cfIcon iconSet="3TrafficLights2" iconId="1"/>
              <x14:cfIcon iconSet="3TrafficLights2" iconId="0"/>
            </x14:iconSet>
          </x14:cfRule>
          <xm:sqref>BP48 BP7:BP46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'EDC - PARAMETRAGE'!$Y$3:$Y$33</xm:f>
          </x14:formula1>
          <xm:sqref>AW7:AW49 AL7:AL49</xm:sqref>
        </x14:dataValidation>
        <x14:dataValidation type="list" allowBlank="1" showInputMessage="1" showErrorMessage="1">
          <x14:formula1>
            <xm:f>'EDC - PARAMETRAGE'!$AA$3:$AA$14</xm:f>
          </x14:formula1>
          <xm:sqref>AX7:AX49 AM7:AM49</xm:sqref>
        </x14:dataValidation>
        <x14:dataValidation type="list" allowBlank="1" showInputMessage="1" showErrorMessage="1">
          <x14:formula1>
            <xm:f>'EDC - PARAMETRAGE'!$AC$3:$AC$5</xm:f>
          </x14:formula1>
          <xm:sqref>BC7:BC49</xm:sqref>
        </x14:dataValidation>
        <x14:dataValidation type="list" allowBlank="1" showInputMessage="1" showErrorMessage="1">
          <x14:formula1>
            <xm:f>'EDC - PARAMETRAGE'!$O$3:$O$4</xm:f>
          </x14:formula1>
          <xm:sqref>AC7:AC49 BR7:BR49</xm:sqref>
        </x14:dataValidation>
        <x14:dataValidation type="list" allowBlank="1" showInputMessage="1" showErrorMessage="1">
          <x14:formula1>
            <xm:f>'EDC - PARAMETRAGE'!$S$3:$S$6</xm:f>
          </x14:formula1>
          <xm:sqref>P7:P49</xm:sqref>
        </x14:dataValidation>
        <x14:dataValidation type="list" allowBlank="1" showInputMessage="1" showErrorMessage="1">
          <x14:formula1>
            <xm:f>'EDC - PARAMETRAGE'!$AE$3:$AE$7</xm:f>
          </x14:formula1>
          <xm:sqref>BD7:BD49</xm:sqref>
        </x14:dataValidation>
        <x14:dataValidation type="list" allowBlank="1" showInputMessage="1" showErrorMessage="1">
          <x14:formula1>
            <xm:f>'EDC - PARAMETRAGE'!$AG$3:$AG$5</xm:f>
          </x14:formula1>
          <xm:sqref>BE7:BE49</xm:sqref>
        </x14:dataValidation>
        <x14:dataValidation type="list" allowBlank="1" showInputMessage="1" showErrorMessage="1">
          <x14:formula1>
            <xm:f>'EDC - PARAMETRAGE'!$E$3:$E$22</xm:f>
          </x14:formula1>
          <xm:sqref>S7:S49</xm:sqref>
        </x14:dataValidation>
        <x14:dataValidation type="list" allowBlank="1" showInputMessage="1" showErrorMessage="1">
          <x14:formula1>
            <xm:f>'EDC - PARAMETRAGE'!$G$3:$G$7</xm:f>
          </x14:formula1>
          <xm:sqref>T7:T49</xm:sqref>
        </x14:dataValidation>
        <x14:dataValidation type="list" allowBlank="1" showInputMessage="1" showErrorMessage="1">
          <x14:formula1>
            <xm:f>'EDC - PARAMETRAGE'!$W$3:$W$6</xm:f>
          </x14:formula1>
          <xm:sqref>BB7:BB49</xm:sqref>
        </x14:dataValidation>
        <x14:dataValidation type="list" allowBlank="1" showInputMessage="1" showErrorMessage="1">
          <x14:formula1>
            <xm:f>'EDC - PARAMETRAGE'!$A$10:$A$31</xm:f>
          </x14:formula1>
          <xm:sqref>E7:E49</xm:sqref>
        </x14:dataValidation>
        <x14:dataValidation type="list" allowBlank="1" showInputMessage="1" showErrorMessage="1">
          <x14:formula1>
            <xm:f>'EDC - PARAMETRAGE'!$C$3:$C$5</xm:f>
          </x14:formula1>
          <xm:sqref>H7:H49</xm:sqref>
        </x14:dataValidation>
        <x14:dataValidation type="list" allowBlank="1" showInputMessage="1" showErrorMessage="1">
          <x14:formula1>
            <xm:f>'EDC - PARAMETRAGE'!$K$3:$K$34</xm:f>
          </x14:formula1>
          <xm:sqref>AF7:AF49</xm:sqref>
        </x14:dataValidation>
        <x14:dataValidation type="list" allowBlank="1" showInputMessage="1" showErrorMessage="1">
          <x14:formula1>
            <xm:f>'EDC - PARAMETRAGE'!$M$3:$M$11</xm:f>
          </x14:formula1>
          <xm:sqref>AQ7:AQ49</xm:sqref>
        </x14:dataValidation>
        <x14:dataValidation type="list" allowBlank="1" showInputMessage="1" showErrorMessage="1">
          <x14:formula1>
            <xm:f>'EDC - PARAMETRAGE'!$Q$3:$Q$4</xm:f>
          </x14:formula1>
          <xm:sqref>O7:O1048576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3" tint="0.59999389629810485"/>
  </sheetPr>
  <dimension ref="A1:L1000"/>
  <sheetViews>
    <sheetView showGridLines="0" topLeftCell="J1" zoomScale="80" zoomScaleNormal="80" workbookViewId="0">
      <selection activeCell="T44" sqref="T44"/>
    </sheetView>
  </sheetViews>
  <sheetFormatPr baseColWidth="10" defaultRowHeight="12" x14ac:dyDescent="0.2"/>
  <cols>
    <col min="1" max="1" width="32.28515625" style="109" customWidth="1"/>
    <col min="2" max="2" width="24.42578125" style="57" customWidth="1"/>
    <col min="3" max="3" width="30.42578125" style="57" customWidth="1"/>
    <col min="4" max="4" width="56.42578125" style="57" customWidth="1"/>
    <col min="5" max="5" width="15.7109375" style="46" customWidth="1"/>
    <col min="6" max="6" width="15.7109375" style="43" customWidth="1"/>
    <col min="7" max="7" width="25.28515625" style="57" customWidth="1"/>
    <col min="8" max="8" width="33.42578125" style="74" customWidth="1"/>
    <col min="9" max="9" width="32.7109375" style="74" customWidth="1"/>
    <col min="10" max="10" width="30.85546875" style="113" customWidth="1"/>
    <col min="11" max="11" width="41" style="43" customWidth="1"/>
    <col min="12" max="12" width="11.42578125" style="69"/>
    <col min="13" max="13" width="34.28515625" style="69" customWidth="1"/>
    <col min="14" max="16384" width="11.42578125" style="69"/>
  </cols>
  <sheetData>
    <row r="1" spans="1:12" s="98" customFormat="1" ht="22.5" customHeight="1" x14ac:dyDescent="0.25">
      <c r="A1" s="209" t="s">
        <v>144</v>
      </c>
      <c r="B1" s="209"/>
      <c r="C1" s="210" t="s">
        <v>145</v>
      </c>
      <c r="D1" s="210"/>
      <c r="E1" s="211" t="s">
        <v>146</v>
      </c>
      <c r="F1" s="211"/>
      <c r="G1" s="211"/>
      <c r="H1" s="211"/>
      <c r="I1" s="211"/>
      <c r="J1" s="211"/>
      <c r="K1" s="211"/>
    </row>
    <row r="2" spans="1:12" s="19" customFormat="1" ht="45.75" customHeight="1" x14ac:dyDescent="0.25">
      <c r="A2" s="101" t="s">
        <v>157</v>
      </c>
      <c r="B2" s="101" t="s">
        <v>123</v>
      </c>
      <c r="C2" s="101" t="s">
        <v>160</v>
      </c>
      <c r="D2" s="101" t="s">
        <v>164</v>
      </c>
      <c r="E2" s="102" t="s">
        <v>154</v>
      </c>
      <c r="F2" s="102" t="s">
        <v>155</v>
      </c>
      <c r="G2" s="102" t="s">
        <v>214</v>
      </c>
      <c r="H2" s="102" t="s">
        <v>215</v>
      </c>
      <c r="I2" s="102" t="s">
        <v>234</v>
      </c>
      <c r="J2" s="102" t="s">
        <v>237</v>
      </c>
      <c r="K2" s="110" t="s">
        <v>216</v>
      </c>
    </row>
    <row r="3" spans="1:12" x14ac:dyDescent="0.2">
      <c r="A3" s="108">
        <v>31</v>
      </c>
      <c r="B3" s="72" t="str">
        <f>IF(A3&lt;&gt;"",'EDC - PARAMETRAGE'!$A$3,"")</f>
        <v>GROUPE DEBAYLE</v>
      </c>
      <c r="C3" s="72" t="str">
        <f>IF(A3&lt;&gt;"",VLOOKUP(A3,'EDC - PRODUCTION'!$A$7:$E$49,5,FALSE),"")</f>
        <v>DEBAYLE PARIS</v>
      </c>
      <c r="D3" s="72" t="str">
        <f>IF(A3&lt;&gt;"",VLOOKUP(A3,'EDC - PRODUCTION'!$A$7:$I$49,4,FALSE),"")</f>
        <v>262/264/266 RUE ST HONORE</v>
      </c>
      <c r="E3" s="44">
        <v>2015</v>
      </c>
      <c r="F3" s="45" t="str">
        <f>IF(A3&lt;&gt;"","DDE","")</f>
        <v>DDE</v>
      </c>
      <c r="G3" s="56">
        <f t="shared" ref="G3:G67" si="0">IF(A3&lt;&gt;"",1,"")</f>
        <v>1</v>
      </c>
      <c r="H3" s="73">
        <v>0</v>
      </c>
      <c r="I3" s="73">
        <v>300</v>
      </c>
      <c r="J3" s="112">
        <f>IF(A3&lt;&gt;"",SUM(H3:I3),"")</f>
        <v>300</v>
      </c>
      <c r="K3" s="130"/>
      <c r="L3" s="70"/>
    </row>
    <row r="4" spans="1:12" x14ac:dyDescent="0.2">
      <c r="A4" s="108">
        <v>31</v>
      </c>
      <c r="B4" s="72" t="str">
        <f>IF(A4&lt;&gt;"",'EDC - PARAMETRAGE'!$A$3,"")</f>
        <v>GROUPE DEBAYLE</v>
      </c>
      <c r="C4" s="72" t="str">
        <f>IF(A4&lt;&gt;"",VLOOKUP(A4,'EDC - PRODUCTION'!$A$7:$E$49,5,FALSE),"")</f>
        <v>DEBAYLE PARIS</v>
      </c>
      <c r="D4" s="72" t="str">
        <f>IF(A4&lt;&gt;"",VLOOKUP(A4,'EDC - PRODUCTION'!$A$7:$I$49,4,FALSE),"")</f>
        <v>262/264/266 RUE ST HONORE</v>
      </c>
      <c r="E4" s="44">
        <v>2013</v>
      </c>
      <c r="F4" s="45" t="s">
        <v>57</v>
      </c>
      <c r="G4" s="56">
        <f t="shared" si="0"/>
        <v>1</v>
      </c>
      <c r="H4" s="73">
        <v>0</v>
      </c>
      <c r="I4" s="73">
        <v>616</v>
      </c>
      <c r="J4" s="112">
        <f t="shared" ref="J4:J12" si="1">IF(A4&lt;&gt;"",SUM(H4:I4),"")</f>
        <v>616</v>
      </c>
      <c r="K4" s="68"/>
      <c r="L4" s="70"/>
    </row>
    <row r="5" spans="1:12" x14ac:dyDescent="0.2">
      <c r="A5" s="108">
        <v>31</v>
      </c>
      <c r="B5" s="72" t="str">
        <f>IF(A5&lt;&gt;"",'EDC - PARAMETRAGE'!$A$3,"")</f>
        <v>GROUPE DEBAYLE</v>
      </c>
      <c r="C5" s="72" t="str">
        <f>IF(A5&lt;&gt;"",VLOOKUP(A5,'EDC - PRODUCTION'!$A$7:$E$49,5,FALSE),"")</f>
        <v>DEBAYLE PARIS</v>
      </c>
      <c r="D5" s="72" t="str">
        <f>IF(A5&lt;&gt;"",VLOOKUP(A5,'EDC - PRODUCTION'!$A$7:$I$49,4,FALSE),"")</f>
        <v>262/264/266 RUE ST HONORE</v>
      </c>
      <c r="E5" s="44">
        <v>2013</v>
      </c>
      <c r="F5" s="45" t="s">
        <v>54</v>
      </c>
      <c r="G5" s="56">
        <f t="shared" si="0"/>
        <v>1</v>
      </c>
      <c r="H5" s="73">
        <v>0</v>
      </c>
      <c r="I5" s="73">
        <v>345</v>
      </c>
      <c r="J5" s="112">
        <f t="shared" si="1"/>
        <v>345</v>
      </c>
      <c r="K5" s="68"/>
      <c r="L5" s="70"/>
    </row>
    <row r="6" spans="1:12" x14ac:dyDescent="0.2">
      <c r="A6" s="108">
        <v>12</v>
      </c>
      <c r="B6" s="72" t="str">
        <f>IF(A6&lt;&gt;"",'EDC - PARAMETRAGE'!$A$3,"")</f>
        <v>GROUPE DEBAYLE</v>
      </c>
      <c r="C6" s="72" t="str">
        <f>IF(A6&lt;&gt;"",VLOOKUP(A6,'EDC - PRODUCTION'!$A$7:$E$49,5,FALSE),"")</f>
        <v>DEBAYLE PARIS</v>
      </c>
      <c r="D6" s="72" t="str">
        <f>IF(A6&lt;&gt;"",VLOOKUP(A6,'EDC - PRODUCTION'!$A$7:$I$49,4,FALSE),"")</f>
        <v>16 RUE DU BAC</v>
      </c>
      <c r="E6" s="44">
        <v>2016</v>
      </c>
      <c r="F6" s="45" t="str">
        <f t="shared" ref="F6:F67" si="2">IF(A6&lt;&gt;"","DDE","")</f>
        <v>DDE</v>
      </c>
      <c r="G6" s="56">
        <f t="shared" si="0"/>
        <v>1</v>
      </c>
      <c r="H6" s="73">
        <v>0</v>
      </c>
      <c r="I6" s="73">
        <v>203</v>
      </c>
      <c r="J6" s="112">
        <f t="shared" si="1"/>
        <v>203</v>
      </c>
      <c r="K6" s="68"/>
      <c r="L6" s="70"/>
    </row>
    <row r="7" spans="1:12" x14ac:dyDescent="0.2">
      <c r="A7" s="108">
        <v>12</v>
      </c>
      <c r="B7" s="72" t="str">
        <f>IF(A7&lt;&gt;"",'EDC - PARAMETRAGE'!$A$3,"")</f>
        <v>GROUPE DEBAYLE</v>
      </c>
      <c r="C7" s="72" t="str">
        <f>IF(A7&lt;&gt;"",VLOOKUP(A7,'EDC - PRODUCTION'!$A$7:$E$49,5,FALSE),"")</f>
        <v>DEBAYLE PARIS</v>
      </c>
      <c r="D7" s="72" t="str">
        <f>IF(A7&lt;&gt;"",VLOOKUP(A7,'EDC - PRODUCTION'!$A$7:$I$49,4,FALSE),"")</f>
        <v>16 RUE DU BAC</v>
      </c>
      <c r="E7" s="44">
        <v>2014</v>
      </c>
      <c r="F7" s="45" t="s">
        <v>57</v>
      </c>
      <c r="G7" s="56">
        <f t="shared" si="0"/>
        <v>1</v>
      </c>
      <c r="H7" s="73">
        <v>0</v>
      </c>
      <c r="I7" s="73">
        <v>3196</v>
      </c>
      <c r="J7" s="112">
        <f t="shared" si="1"/>
        <v>3196</v>
      </c>
      <c r="K7" s="68"/>
      <c r="L7" s="70"/>
    </row>
    <row r="8" spans="1:12" x14ac:dyDescent="0.2">
      <c r="A8" s="108">
        <v>22</v>
      </c>
      <c r="B8" s="72" t="str">
        <f>IF(A8&lt;&gt;"",'EDC - PARAMETRAGE'!$A$3,"")</f>
        <v>GROUPE DEBAYLE</v>
      </c>
      <c r="C8" s="72" t="str">
        <f>IF(A8&lt;&gt;"",VLOOKUP(A8,'EDC - PRODUCTION'!$A$7:$E$49,5,FALSE),"")</f>
        <v>DEBAYLE PARIS</v>
      </c>
      <c r="D8" s="72" t="str">
        <f>IF(A8&lt;&gt;"",VLOOKUP(A8,'EDC - PRODUCTION'!$A$7:$I$49,4,FALSE),"")</f>
        <v>17 RUE MOLIERE</v>
      </c>
      <c r="E8" s="44">
        <v>2014</v>
      </c>
      <c r="F8" s="45" t="str">
        <f t="shared" si="2"/>
        <v>DDE</v>
      </c>
      <c r="G8" s="56">
        <f t="shared" si="0"/>
        <v>1</v>
      </c>
      <c r="H8" s="73">
        <v>0</v>
      </c>
      <c r="I8" s="73">
        <v>212</v>
      </c>
      <c r="J8" s="112">
        <f t="shared" si="1"/>
        <v>212</v>
      </c>
      <c r="K8" s="68"/>
      <c r="L8" s="70" t="s">
        <v>495</v>
      </c>
    </row>
    <row r="9" spans="1:12" x14ac:dyDescent="0.2">
      <c r="A9" s="108">
        <v>22</v>
      </c>
      <c r="B9" s="72" t="str">
        <f>IF(A9&lt;&gt;"",'EDC - PARAMETRAGE'!$A$3,"")</f>
        <v>GROUPE DEBAYLE</v>
      </c>
      <c r="C9" s="72" t="str">
        <f>IF(A9&lt;&gt;"",VLOOKUP(A9,'EDC - PRODUCTION'!$A$7:$E$49,5,FALSE),"")</f>
        <v>DEBAYLE PARIS</v>
      </c>
      <c r="D9" s="72" t="str">
        <f>IF(A9&lt;&gt;"",VLOOKUP(A9,'EDC - PRODUCTION'!$A$7:$I$49,4,FALSE),"")</f>
        <v>17 RUE MOLIERE</v>
      </c>
      <c r="E9" s="44">
        <v>2014</v>
      </c>
      <c r="F9" s="45" t="str">
        <f t="shared" si="2"/>
        <v>DDE</v>
      </c>
      <c r="G9" s="56">
        <f t="shared" si="0"/>
        <v>1</v>
      </c>
      <c r="H9" s="73">
        <v>0</v>
      </c>
      <c r="I9" s="73">
        <v>0</v>
      </c>
      <c r="J9" s="112">
        <f t="shared" si="1"/>
        <v>0</v>
      </c>
      <c r="K9" s="68"/>
      <c r="L9" s="70" t="s">
        <v>494</v>
      </c>
    </row>
    <row r="10" spans="1:12" x14ac:dyDescent="0.2">
      <c r="A10" s="108">
        <v>22</v>
      </c>
      <c r="B10" s="72" t="str">
        <f>IF(A10&lt;&gt;"",'EDC - PARAMETRAGE'!$A$3,"")</f>
        <v>GROUPE DEBAYLE</v>
      </c>
      <c r="C10" s="72" t="str">
        <f>IF(A10&lt;&gt;"",VLOOKUP(A10,'EDC - PRODUCTION'!$A$7:$E$49,5,FALSE),"")</f>
        <v>DEBAYLE PARIS</v>
      </c>
      <c r="D10" s="72" t="str">
        <f>IF(A10&lt;&gt;"",VLOOKUP(A10,'EDC - PRODUCTION'!$A$7:$I$49,4,FALSE),"")</f>
        <v>17 RUE MOLIERE</v>
      </c>
      <c r="E10" s="44">
        <v>2014</v>
      </c>
      <c r="F10" s="45" t="s">
        <v>57</v>
      </c>
      <c r="G10" s="56">
        <f>IF(A10&lt;&gt;"",1,"")</f>
        <v>1</v>
      </c>
      <c r="H10" s="73">
        <v>0</v>
      </c>
      <c r="I10" s="73">
        <v>1716</v>
      </c>
      <c r="J10" s="112">
        <f t="shared" si="1"/>
        <v>1716</v>
      </c>
      <c r="K10" s="68"/>
      <c r="L10" s="70" t="s">
        <v>491</v>
      </c>
    </row>
    <row r="11" spans="1:12" x14ac:dyDescent="0.2">
      <c r="A11" s="108">
        <v>22</v>
      </c>
      <c r="B11" s="72" t="str">
        <f>IF(A11&lt;&gt;"",'EDC - PARAMETRAGE'!$A$3,"")</f>
        <v>GROUPE DEBAYLE</v>
      </c>
      <c r="C11" s="72" t="str">
        <f>IF(A11&lt;&gt;"",VLOOKUP(A11,'EDC - PRODUCTION'!$A$7:$E$49,5,FALSE),"")</f>
        <v>DEBAYLE PARIS</v>
      </c>
      <c r="D11" s="72" t="str">
        <f>IF(A11&lt;&gt;"",VLOOKUP(A11,'EDC - PRODUCTION'!$A$7:$I$49,4,FALSE),"")</f>
        <v>17 RUE MOLIERE</v>
      </c>
      <c r="E11" s="44">
        <v>2014</v>
      </c>
      <c r="F11" s="45" t="s">
        <v>57</v>
      </c>
      <c r="G11" s="56">
        <f t="shared" si="0"/>
        <v>1</v>
      </c>
      <c r="H11" s="73">
        <v>0</v>
      </c>
      <c r="I11" s="73">
        <v>4128</v>
      </c>
      <c r="J11" s="112">
        <f t="shared" si="1"/>
        <v>4128</v>
      </c>
      <c r="K11" s="68"/>
      <c r="L11" s="70" t="s">
        <v>492</v>
      </c>
    </row>
    <row r="12" spans="1:12" x14ac:dyDescent="0.2">
      <c r="A12" s="108">
        <v>22</v>
      </c>
      <c r="B12" s="72" t="str">
        <f>IF(A12&lt;&gt;"",'EDC - PARAMETRAGE'!$A$3,"")</f>
        <v>GROUPE DEBAYLE</v>
      </c>
      <c r="C12" s="72" t="str">
        <f>IF(A12&lt;&gt;"",VLOOKUP(A12,'EDC - PRODUCTION'!$A$7:$E$49,5,FALSE),"")</f>
        <v>DEBAYLE PARIS</v>
      </c>
      <c r="D12" s="72" t="str">
        <f>IF(A12&lt;&gt;"",VLOOKUP(A12,'EDC - PRODUCTION'!$A$7:$I$49,4,FALSE),"")</f>
        <v>17 RUE MOLIERE</v>
      </c>
      <c r="E12" s="44">
        <v>2013</v>
      </c>
      <c r="F12" s="45" t="str">
        <f t="shared" si="2"/>
        <v>DDE</v>
      </c>
      <c r="G12" s="56">
        <f t="shared" si="0"/>
        <v>1</v>
      </c>
      <c r="H12" s="73">
        <v>0</v>
      </c>
      <c r="I12" s="73">
        <v>9543</v>
      </c>
      <c r="J12" s="112">
        <f t="shared" si="1"/>
        <v>9543</v>
      </c>
      <c r="K12" s="68"/>
      <c r="L12" s="70" t="s">
        <v>493</v>
      </c>
    </row>
    <row r="13" spans="1:12" x14ac:dyDescent="0.2">
      <c r="A13" s="108">
        <v>26</v>
      </c>
      <c r="B13" s="72" t="str">
        <f>IF(A13&lt;&gt;"",'EDC - PARAMETRAGE'!$A$3,"")</f>
        <v>GROUPE DEBAYLE</v>
      </c>
      <c r="C13" s="72" t="str">
        <f>IF(A13&lt;&gt;"",VLOOKUP(A13,'EDC - PRODUCTION'!$A$7:$E$49,5,FALSE),"")</f>
        <v>DEBAYLE PARIS</v>
      </c>
      <c r="D13" s="72" t="str">
        <f>IF(A13&lt;&gt;"",VLOOKUP(A13,'EDC - PRODUCTION'!$A$7:$I$49,4,FALSE),"")</f>
        <v>8 RUE J-B PIGALLE</v>
      </c>
      <c r="E13" s="44">
        <v>2015</v>
      </c>
      <c r="F13" s="45" t="str">
        <f t="shared" si="2"/>
        <v>DDE</v>
      </c>
      <c r="G13" s="56">
        <f t="shared" si="0"/>
        <v>1</v>
      </c>
      <c r="H13" s="73">
        <v>1600</v>
      </c>
      <c r="I13" s="73">
        <v>0</v>
      </c>
      <c r="J13" s="112">
        <f t="shared" ref="J13:J67" si="3">IF(A13&lt;&gt;"",SUM(H13:I13),"")</f>
        <v>1600</v>
      </c>
      <c r="K13" s="68"/>
      <c r="L13" s="70"/>
    </row>
    <row r="14" spans="1:12" x14ac:dyDescent="0.2">
      <c r="A14" s="108">
        <v>20</v>
      </c>
      <c r="B14" s="72" t="str">
        <f>IF(A14&lt;&gt;"",'EDC - PARAMETRAGE'!$A$3,"")</f>
        <v>GROUPE DEBAYLE</v>
      </c>
      <c r="C14" s="72" t="str">
        <f>IF(A14&lt;&gt;"",VLOOKUP(A14,'EDC - PRODUCTION'!$A$7:$E$49,5,FALSE),"")</f>
        <v>DEBAYLE PARIS</v>
      </c>
      <c r="D14" s="72" t="str">
        <f>IF(A14&lt;&gt;"",VLOOKUP(A14,'EDC - PRODUCTION'!$A$7:$I$49,4,FALSE),"")</f>
        <v>6 AVENUE ALPHONSE XIII</v>
      </c>
      <c r="E14" s="44">
        <v>2013</v>
      </c>
      <c r="F14" s="45" t="str">
        <f t="shared" si="2"/>
        <v>DDE</v>
      </c>
      <c r="G14" s="56">
        <f t="shared" ref="G14:G24" si="4">IF(A14&lt;&gt;"",1,"")</f>
        <v>1</v>
      </c>
      <c r="H14" s="73">
        <v>0</v>
      </c>
      <c r="I14" s="73">
        <v>5077</v>
      </c>
      <c r="J14" s="112">
        <f t="shared" si="3"/>
        <v>5077</v>
      </c>
      <c r="K14" s="68"/>
      <c r="L14" s="70"/>
    </row>
    <row r="15" spans="1:12" x14ac:dyDescent="0.2">
      <c r="A15" s="108">
        <v>20</v>
      </c>
      <c r="B15" s="72" t="str">
        <f>IF(A15&lt;&gt;"",'EDC - PARAMETRAGE'!$A$3,"")</f>
        <v>GROUPE DEBAYLE</v>
      </c>
      <c r="C15" s="72" t="str">
        <f>IF(A15&lt;&gt;"",VLOOKUP(A15,'EDC - PRODUCTION'!$A$7:$E$49,5,FALSE),"")</f>
        <v>DEBAYLE PARIS</v>
      </c>
      <c r="D15" s="72" t="str">
        <f>IF(A15&lt;&gt;"",VLOOKUP(A15,'EDC - PRODUCTION'!$A$7:$I$49,4,FALSE),"")</f>
        <v>6 AVENUE ALPHONSE XIII</v>
      </c>
      <c r="E15" s="44">
        <v>2013</v>
      </c>
      <c r="F15" s="45" t="str">
        <f t="shared" si="2"/>
        <v>DDE</v>
      </c>
      <c r="G15" s="56">
        <f t="shared" si="4"/>
        <v>1</v>
      </c>
      <c r="H15" s="73">
        <v>0</v>
      </c>
      <c r="I15" s="73">
        <v>2436</v>
      </c>
      <c r="J15" s="112">
        <f t="shared" si="3"/>
        <v>2436</v>
      </c>
      <c r="K15" s="68"/>
      <c r="L15" s="70"/>
    </row>
    <row r="16" spans="1:12" x14ac:dyDescent="0.2">
      <c r="A16" s="108">
        <v>20</v>
      </c>
      <c r="B16" s="72" t="str">
        <f>IF(A16&lt;&gt;"",'EDC - PARAMETRAGE'!$A$3,"")</f>
        <v>GROUPE DEBAYLE</v>
      </c>
      <c r="C16" s="72" t="str">
        <f>IF(A16&lt;&gt;"",VLOOKUP(A16,'EDC - PRODUCTION'!$A$7:$E$49,5,FALSE),"")</f>
        <v>DEBAYLE PARIS</v>
      </c>
      <c r="D16" s="72" t="str">
        <f>IF(A16&lt;&gt;"",VLOOKUP(A16,'EDC - PRODUCTION'!$A$7:$I$49,4,FALSE),"")</f>
        <v>6 AVENUE ALPHONSE XIII</v>
      </c>
      <c r="E16" s="44">
        <v>2013</v>
      </c>
      <c r="F16" s="45" t="str">
        <f t="shared" si="2"/>
        <v>DDE</v>
      </c>
      <c r="G16" s="56">
        <f t="shared" si="4"/>
        <v>1</v>
      </c>
      <c r="H16" s="73">
        <v>0</v>
      </c>
      <c r="I16" s="73">
        <v>422</v>
      </c>
      <c r="J16" s="112">
        <f t="shared" si="3"/>
        <v>422</v>
      </c>
      <c r="K16" s="68"/>
      <c r="L16" s="70"/>
    </row>
    <row r="17" spans="1:12" x14ac:dyDescent="0.2">
      <c r="A17" s="108">
        <v>20</v>
      </c>
      <c r="B17" s="72" t="str">
        <f>IF(A17&lt;&gt;"",'EDC - PARAMETRAGE'!$A$3,"")</f>
        <v>GROUPE DEBAYLE</v>
      </c>
      <c r="C17" s="72" t="str">
        <f>IF(A17&lt;&gt;"",VLOOKUP(A17,'EDC - PRODUCTION'!$A$7:$E$49,5,FALSE),"")</f>
        <v>DEBAYLE PARIS</v>
      </c>
      <c r="D17" s="72" t="str">
        <f>IF(A17&lt;&gt;"",VLOOKUP(A17,'EDC - PRODUCTION'!$A$7:$I$49,4,FALSE),"")</f>
        <v>6 AVENUE ALPHONSE XIII</v>
      </c>
      <c r="E17" s="44">
        <v>2014</v>
      </c>
      <c r="F17" s="45" t="str">
        <f t="shared" si="2"/>
        <v>DDE</v>
      </c>
      <c r="G17" s="56">
        <f t="shared" si="4"/>
        <v>1</v>
      </c>
      <c r="H17" s="73">
        <v>0</v>
      </c>
      <c r="I17" s="73">
        <v>205</v>
      </c>
      <c r="J17" s="112">
        <f t="shared" si="3"/>
        <v>205</v>
      </c>
      <c r="K17" s="68"/>
      <c r="L17" s="70"/>
    </row>
    <row r="18" spans="1:12" x14ac:dyDescent="0.2">
      <c r="A18" s="108">
        <v>20</v>
      </c>
      <c r="B18" s="72" t="str">
        <f>IF(A18&lt;&gt;"",'EDC - PARAMETRAGE'!$A$3,"")</f>
        <v>GROUPE DEBAYLE</v>
      </c>
      <c r="C18" s="72" t="str">
        <f>IF(A18&lt;&gt;"",VLOOKUP(A18,'EDC - PRODUCTION'!$A$7:$E$49,5,FALSE),"")</f>
        <v>DEBAYLE PARIS</v>
      </c>
      <c r="D18" s="72" t="str">
        <f>IF(A18&lt;&gt;"",VLOOKUP(A18,'EDC - PRODUCTION'!$A$7:$I$49,4,FALSE),"")</f>
        <v>6 AVENUE ALPHONSE XIII</v>
      </c>
      <c r="E18" s="44">
        <v>2016</v>
      </c>
      <c r="F18" s="45" t="str">
        <f t="shared" si="2"/>
        <v>DDE</v>
      </c>
      <c r="G18" s="56">
        <f t="shared" si="4"/>
        <v>1</v>
      </c>
      <c r="H18" s="73">
        <v>2600</v>
      </c>
      <c r="I18" s="73">
        <v>0</v>
      </c>
      <c r="J18" s="112">
        <f t="shared" si="3"/>
        <v>2600</v>
      </c>
      <c r="K18" s="68"/>
      <c r="L18" s="70"/>
    </row>
    <row r="19" spans="1:12" x14ac:dyDescent="0.2">
      <c r="A19" s="108">
        <v>13</v>
      </c>
      <c r="B19" s="72" t="str">
        <f>IF(A19&lt;&gt;"",'EDC - PARAMETRAGE'!$A$3,"")</f>
        <v>GROUPE DEBAYLE</v>
      </c>
      <c r="C19" s="72" t="str">
        <f>IF(A19&lt;&gt;"",VLOOKUP(A19,'EDC - PRODUCTION'!$A$7:$E$49,5,FALSE),"")</f>
        <v>DEBAYLE PARIS</v>
      </c>
      <c r="D19" s="72" t="str">
        <f>IF(A19&lt;&gt;"",VLOOKUP(A19,'EDC - PRODUCTION'!$A$7:$I$49,4,FALSE),"")</f>
        <v>15 SQUARE CARPEAUX</v>
      </c>
      <c r="E19" s="44">
        <v>2015</v>
      </c>
      <c r="F19" s="45" t="str">
        <f t="shared" si="2"/>
        <v>DDE</v>
      </c>
      <c r="G19" s="56">
        <f t="shared" si="4"/>
        <v>1</v>
      </c>
      <c r="H19" s="73">
        <v>0</v>
      </c>
      <c r="I19" s="73">
        <v>1416</v>
      </c>
      <c r="J19" s="112">
        <f t="shared" si="3"/>
        <v>1416</v>
      </c>
      <c r="K19" s="68"/>
      <c r="L19" s="70" t="s">
        <v>498</v>
      </c>
    </row>
    <row r="20" spans="1:12" x14ac:dyDescent="0.2">
      <c r="A20" s="108">
        <v>13</v>
      </c>
      <c r="B20" s="72" t="str">
        <f>IF(A20&lt;&gt;"",'EDC - PARAMETRAGE'!$A$3,"")</f>
        <v>GROUPE DEBAYLE</v>
      </c>
      <c r="C20" s="72" t="str">
        <f>IF(A20&lt;&gt;"",VLOOKUP(A20,'EDC - PRODUCTION'!$A$7:$E$49,5,FALSE),"")</f>
        <v>DEBAYLE PARIS</v>
      </c>
      <c r="D20" s="72" t="str">
        <f>IF(A20&lt;&gt;"",VLOOKUP(A20,'EDC - PRODUCTION'!$A$7:$I$49,4,FALSE),"")</f>
        <v>15 SQUARE CARPEAUX</v>
      </c>
      <c r="E20" s="44">
        <v>2015</v>
      </c>
      <c r="F20" s="45" t="str">
        <f t="shared" si="2"/>
        <v>DDE</v>
      </c>
      <c r="G20" s="56">
        <f t="shared" si="4"/>
        <v>1</v>
      </c>
      <c r="H20" s="73">
        <v>640</v>
      </c>
      <c r="I20" s="73">
        <v>3814</v>
      </c>
      <c r="J20" s="112">
        <f t="shared" si="3"/>
        <v>4454</v>
      </c>
      <c r="K20" s="68"/>
      <c r="L20" s="70" t="s">
        <v>497</v>
      </c>
    </row>
    <row r="21" spans="1:12" x14ac:dyDescent="0.2">
      <c r="A21" s="108">
        <v>13</v>
      </c>
      <c r="B21" s="72" t="str">
        <f>IF(A21&lt;&gt;"",'EDC - PARAMETRAGE'!$A$3,"")</f>
        <v>GROUPE DEBAYLE</v>
      </c>
      <c r="C21" s="72" t="str">
        <f>IF(A21&lt;&gt;"",VLOOKUP(A21,'EDC - PRODUCTION'!$A$7:$E$49,5,FALSE),"")</f>
        <v>DEBAYLE PARIS</v>
      </c>
      <c r="D21" s="72" t="str">
        <f>IF(A21&lt;&gt;"",VLOOKUP(A21,'EDC - PRODUCTION'!$A$7:$I$49,4,FALSE),"")</f>
        <v>15 SQUARE CARPEAUX</v>
      </c>
      <c r="E21" s="44">
        <v>2016</v>
      </c>
      <c r="F21" s="45" t="str">
        <f t="shared" si="2"/>
        <v>DDE</v>
      </c>
      <c r="G21" s="56">
        <f t="shared" si="4"/>
        <v>1</v>
      </c>
      <c r="H21" s="73">
        <v>0</v>
      </c>
      <c r="I21" s="73">
        <v>456</v>
      </c>
      <c r="J21" s="112">
        <f t="shared" si="3"/>
        <v>456</v>
      </c>
      <c r="K21" s="68"/>
      <c r="L21" s="70" t="s">
        <v>496</v>
      </c>
    </row>
    <row r="22" spans="1:12" x14ac:dyDescent="0.2">
      <c r="A22" s="108">
        <v>9</v>
      </c>
      <c r="B22" s="72" t="str">
        <f>IF(A22&lt;&gt;"",'EDC - PARAMETRAGE'!$A$3,"")</f>
        <v>GROUPE DEBAYLE</v>
      </c>
      <c r="C22" s="72" t="str">
        <f>IF(A22&lt;&gt;"",VLOOKUP(A22,'EDC - PRODUCTION'!$A$7:$E$49,5,FALSE),"")</f>
        <v>DEBAYLE PARIS</v>
      </c>
      <c r="D22" s="72" t="str">
        <f>IF(A22&lt;&gt;"",VLOOKUP(A22,'EDC - PRODUCTION'!$A$7:$I$49,4,FALSE),"")</f>
        <v>15 RUE DU POTEAU</v>
      </c>
      <c r="E22" s="44">
        <v>2013</v>
      </c>
      <c r="F22" s="45" t="str">
        <f t="shared" si="2"/>
        <v>DDE</v>
      </c>
      <c r="G22" s="56">
        <f t="shared" si="4"/>
        <v>1</v>
      </c>
      <c r="H22" s="73">
        <v>500</v>
      </c>
      <c r="I22" s="73">
        <v>0</v>
      </c>
      <c r="J22" s="112">
        <f t="shared" si="3"/>
        <v>500</v>
      </c>
      <c r="K22" s="68"/>
      <c r="L22" s="70" t="s">
        <v>499</v>
      </c>
    </row>
    <row r="23" spans="1:12" x14ac:dyDescent="0.2">
      <c r="A23" s="108">
        <v>9</v>
      </c>
      <c r="B23" s="72" t="str">
        <f>IF(A23&lt;&gt;"",'EDC - PARAMETRAGE'!$A$3,"")</f>
        <v>GROUPE DEBAYLE</v>
      </c>
      <c r="C23" s="72" t="str">
        <f>IF(A23&lt;&gt;"",VLOOKUP(A23,'EDC - PRODUCTION'!$A$7:$E$49,5,FALSE),"")</f>
        <v>DEBAYLE PARIS</v>
      </c>
      <c r="D23" s="72" t="str">
        <f>IF(A23&lt;&gt;"",VLOOKUP(A23,'EDC - PRODUCTION'!$A$7:$I$49,4,FALSE),"")</f>
        <v>15 RUE DU POTEAU</v>
      </c>
      <c r="E23" s="44">
        <v>2013</v>
      </c>
      <c r="F23" s="45" t="str">
        <f t="shared" si="2"/>
        <v>DDE</v>
      </c>
      <c r="G23" s="56">
        <f t="shared" si="4"/>
        <v>1</v>
      </c>
      <c r="H23" s="73">
        <v>1610</v>
      </c>
      <c r="I23" s="73">
        <v>2385</v>
      </c>
      <c r="J23" s="112">
        <f t="shared" si="3"/>
        <v>3995</v>
      </c>
      <c r="K23" s="68"/>
      <c r="L23" s="70"/>
    </row>
    <row r="24" spans="1:12" x14ac:dyDescent="0.2">
      <c r="A24" s="108">
        <v>9</v>
      </c>
      <c r="B24" s="72" t="str">
        <f>IF(A24&lt;&gt;"",'EDC - PARAMETRAGE'!$A$3,"")</f>
        <v>GROUPE DEBAYLE</v>
      </c>
      <c r="C24" s="72" t="str">
        <f>IF(A24&lt;&gt;"",VLOOKUP(A24,'EDC - PRODUCTION'!$A$7:$E$49,5,FALSE),"")</f>
        <v>DEBAYLE PARIS</v>
      </c>
      <c r="D24" s="72" t="str">
        <f>IF(A24&lt;&gt;"",VLOOKUP(A24,'EDC - PRODUCTION'!$A$7:$I$49,4,FALSE),"")</f>
        <v>15 RUE DU POTEAU</v>
      </c>
      <c r="E24" s="44">
        <v>2013</v>
      </c>
      <c r="F24" s="45" t="str">
        <f t="shared" si="2"/>
        <v>DDE</v>
      </c>
      <c r="G24" s="56">
        <f t="shared" si="4"/>
        <v>1</v>
      </c>
      <c r="H24" s="73">
        <v>847</v>
      </c>
      <c r="I24" s="73">
        <v>0</v>
      </c>
      <c r="J24" s="112">
        <f t="shared" si="3"/>
        <v>847</v>
      </c>
      <c r="K24" s="68"/>
      <c r="L24" s="70"/>
    </row>
    <row r="25" spans="1:12" x14ac:dyDescent="0.2">
      <c r="A25" s="108">
        <v>9</v>
      </c>
      <c r="B25" s="72" t="str">
        <f>IF(A25&lt;&gt;"",'EDC - PARAMETRAGE'!$A$3,"")</f>
        <v>GROUPE DEBAYLE</v>
      </c>
      <c r="C25" s="72" t="str">
        <f>IF(A25&lt;&gt;"",VLOOKUP(A25,'EDC - PRODUCTION'!$A$7:$E$49,5,FALSE),"")</f>
        <v>DEBAYLE PARIS</v>
      </c>
      <c r="D25" s="72" t="str">
        <f>IF(A25&lt;&gt;"",VLOOKUP(A25,'EDC - PRODUCTION'!$A$7:$I$49,4,FALSE),"")</f>
        <v>15 RUE DU POTEAU</v>
      </c>
      <c r="E25" s="44">
        <v>2013</v>
      </c>
      <c r="F25" s="45" t="s">
        <v>59</v>
      </c>
      <c r="G25" s="56">
        <f t="shared" si="0"/>
        <v>1</v>
      </c>
      <c r="H25" s="73">
        <v>0</v>
      </c>
      <c r="I25" s="73">
        <v>149</v>
      </c>
      <c r="J25" s="112">
        <f t="shared" si="3"/>
        <v>149</v>
      </c>
      <c r="K25" s="68"/>
      <c r="L25" s="70"/>
    </row>
    <row r="26" spans="1:12" x14ac:dyDescent="0.2">
      <c r="A26" s="108">
        <v>9</v>
      </c>
      <c r="B26" s="72" t="str">
        <f>IF(A26&lt;&gt;"",'EDC - PARAMETRAGE'!$A$3,"")</f>
        <v>GROUPE DEBAYLE</v>
      </c>
      <c r="C26" s="72" t="str">
        <f>IF(A26&lt;&gt;"",VLOOKUP(A26,'EDC - PRODUCTION'!$A$7:$E$49,5,FALSE),"")</f>
        <v>DEBAYLE PARIS</v>
      </c>
      <c r="D26" s="72" t="str">
        <f>IF(A26&lt;&gt;"",VLOOKUP(A26,'EDC - PRODUCTION'!$A$7:$I$49,4,FALSE),"")</f>
        <v>15 RUE DU POTEAU</v>
      </c>
      <c r="E26" s="44">
        <v>2015</v>
      </c>
      <c r="F26" s="45" t="str">
        <f t="shared" si="2"/>
        <v>DDE</v>
      </c>
      <c r="G26" s="56">
        <f t="shared" si="0"/>
        <v>1</v>
      </c>
      <c r="H26" s="73">
        <v>810</v>
      </c>
      <c r="I26" s="73">
        <v>0</v>
      </c>
      <c r="J26" s="112">
        <f t="shared" si="3"/>
        <v>810</v>
      </c>
      <c r="K26" s="68"/>
      <c r="L26" s="70"/>
    </row>
    <row r="27" spans="1:12" x14ac:dyDescent="0.2">
      <c r="A27" s="108">
        <v>25</v>
      </c>
      <c r="B27" s="72" t="str">
        <f>IF(A27&lt;&gt;"",'EDC - PARAMETRAGE'!$A$3,"")</f>
        <v>GROUPE DEBAYLE</v>
      </c>
      <c r="C27" s="72" t="str">
        <f>IF(A27&lt;&gt;"",VLOOKUP(A27,'EDC - PRODUCTION'!$A$7:$E$49,5,FALSE),"")</f>
        <v>DEBAYLE PARIS</v>
      </c>
      <c r="D27" s="72" t="str">
        <f>IF(A27&lt;&gt;"",VLOOKUP(A27,'EDC - PRODUCTION'!$A$7:$I$49,4,FALSE),"")</f>
        <v>39 RUE PROUDHON</v>
      </c>
      <c r="E27" s="44">
        <v>2013</v>
      </c>
      <c r="F27" s="45" t="str">
        <f t="shared" si="2"/>
        <v>DDE</v>
      </c>
      <c r="G27" s="56">
        <f t="shared" si="0"/>
        <v>1</v>
      </c>
      <c r="H27" s="73">
        <v>0</v>
      </c>
      <c r="I27" s="73">
        <v>158</v>
      </c>
      <c r="J27" s="112">
        <f t="shared" si="3"/>
        <v>158</v>
      </c>
      <c r="K27" s="68"/>
      <c r="L27" s="70"/>
    </row>
    <row r="28" spans="1:12" x14ac:dyDescent="0.2">
      <c r="A28" s="108">
        <v>17</v>
      </c>
      <c r="B28" s="72" t="str">
        <f>IF(A28&lt;&gt;"",'EDC - PARAMETRAGE'!$A$3,"")</f>
        <v>GROUPE DEBAYLE</v>
      </c>
      <c r="C28" s="72" t="str">
        <f>IF(A28&lt;&gt;"",VLOOKUP(A28,'EDC - PRODUCTION'!$A$7:$E$49,5,FALSE),"")</f>
        <v>DEBAYLE PARIS</v>
      </c>
      <c r="D28" s="72" t="str">
        <f>IF(A28&lt;&gt;"",VLOOKUP(A28,'EDC - PRODUCTION'!$A$7:$I$49,4,FALSE),"")</f>
        <v>32 / 34 RUE SAINT LAZARE</v>
      </c>
      <c r="E28" s="44">
        <v>2015</v>
      </c>
      <c r="F28" s="45" t="str">
        <f t="shared" si="2"/>
        <v>DDE</v>
      </c>
      <c r="G28" s="56">
        <f t="shared" si="0"/>
        <v>1</v>
      </c>
      <c r="H28" s="73">
        <v>0</v>
      </c>
      <c r="I28" s="73">
        <v>0</v>
      </c>
      <c r="J28" s="112">
        <f t="shared" si="3"/>
        <v>0</v>
      </c>
      <c r="K28" s="68"/>
      <c r="L28" s="70"/>
    </row>
    <row r="29" spans="1:12" x14ac:dyDescent="0.2">
      <c r="A29" s="108">
        <v>17</v>
      </c>
      <c r="B29" s="72" t="str">
        <f>IF(A29&lt;&gt;"",'EDC - PARAMETRAGE'!$A$3,"")</f>
        <v>GROUPE DEBAYLE</v>
      </c>
      <c r="C29" s="72" t="str">
        <f>IF(A29&lt;&gt;"",VLOOKUP(A29,'EDC - PRODUCTION'!$A$7:$E$49,5,FALSE),"")</f>
        <v>DEBAYLE PARIS</v>
      </c>
      <c r="D29" s="72" t="str">
        <f>IF(A29&lt;&gt;"",VLOOKUP(A29,'EDC - PRODUCTION'!$A$7:$I$49,4,FALSE),"")</f>
        <v>32 / 34 RUE SAINT LAZARE</v>
      </c>
      <c r="E29" s="44">
        <v>2015</v>
      </c>
      <c r="F29" s="45" t="str">
        <f t="shared" si="2"/>
        <v>DDE</v>
      </c>
      <c r="G29" s="56">
        <f t="shared" si="0"/>
        <v>1</v>
      </c>
      <c r="H29" s="73">
        <v>0</v>
      </c>
      <c r="I29" s="73">
        <v>2111</v>
      </c>
      <c r="J29" s="112">
        <f t="shared" si="3"/>
        <v>2111</v>
      </c>
      <c r="K29" s="68"/>
      <c r="L29" s="70"/>
    </row>
    <row r="30" spans="1:12" x14ac:dyDescent="0.2">
      <c r="A30" s="108">
        <v>11</v>
      </c>
      <c r="B30" s="72" t="str">
        <f>IF(A30&lt;&gt;"",'EDC - PARAMETRAGE'!$A$3,"")</f>
        <v>GROUPE DEBAYLE</v>
      </c>
      <c r="C30" s="72" t="str">
        <f>IF(A30&lt;&gt;"",VLOOKUP(A30,'EDC - PRODUCTION'!$A$7:$E$49,5,FALSE),"")</f>
        <v>DEBAYLE PARIS</v>
      </c>
      <c r="D30" s="72" t="str">
        <f>IF(A30&lt;&gt;"",VLOOKUP(A30,'EDC - PRODUCTION'!$A$7:$I$49,4,FALSE),"")</f>
        <v>16/18 RUE ST LAZARE</v>
      </c>
      <c r="E30" s="44">
        <v>2015</v>
      </c>
      <c r="F30" s="45" t="str">
        <f t="shared" si="2"/>
        <v>DDE</v>
      </c>
      <c r="G30" s="56">
        <f t="shared" si="0"/>
        <v>1</v>
      </c>
      <c r="H30" s="73">
        <v>0</v>
      </c>
      <c r="I30" s="73">
        <v>0</v>
      </c>
      <c r="J30" s="112">
        <f t="shared" si="3"/>
        <v>0</v>
      </c>
      <c r="K30" s="68"/>
      <c r="L30" s="70"/>
    </row>
    <row r="31" spans="1:12" x14ac:dyDescent="0.2">
      <c r="A31" s="108">
        <v>11</v>
      </c>
      <c r="B31" s="72" t="str">
        <f>IF(A31&lt;&gt;"",'EDC - PARAMETRAGE'!$A$3,"")</f>
        <v>GROUPE DEBAYLE</v>
      </c>
      <c r="C31" s="72" t="str">
        <f>IF(A31&lt;&gt;"",VLOOKUP(A31,'EDC - PRODUCTION'!$A$7:$E$49,5,FALSE),"")</f>
        <v>DEBAYLE PARIS</v>
      </c>
      <c r="D31" s="72" t="str">
        <f>IF(A31&lt;&gt;"",VLOOKUP(A31,'EDC - PRODUCTION'!$A$7:$I$49,4,FALSE),"")</f>
        <v>16/18 RUE ST LAZARE</v>
      </c>
      <c r="E31" s="44">
        <v>2015</v>
      </c>
      <c r="F31" s="45" t="str">
        <f t="shared" si="2"/>
        <v>DDE</v>
      </c>
      <c r="G31" s="56">
        <f t="shared" si="0"/>
        <v>1</v>
      </c>
      <c r="H31" s="73">
        <v>1714</v>
      </c>
      <c r="I31" s="73">
        <v>0</v>
      </c>
      <c r="J31" s="112">
        <f t="shared" si="3"/>
        <v>1714</v>
      </c>
      <c r="K31" s="68"/>
    </row>
    <row r="32" spans="1:12" x14ac:dyDescent="0.2">
      <c r="A32" s="108">
        <v>11</v>
      </c>
      <c r="B32" s="72" t="str">
        <f>IF(A32&lt;&gt;"",'EDC - PARAMETRAGE'!$A$3,"")</f>
        <v>GROUPE DEBAYLE</v>
      </c>
      <c r="C32" s="72" t="str">
        <f>IF(A32&lt;&gt;"",VLOOKUP(A32,'EDC - PRODUCTION'!$A$7:$E$49,5,FALSE),"")</f>
        <v>DEBAYLE PARIS</v>
      </c>
      <c r="D32" s="72" t="str">
        <f>IF(A32&lt;&gt;"",VLOOKUP(A32,'EDC - PRODUCTION'!$A$7:$I$49,4,FALSE),"")</f>
        <v>16/18 RUE ST LAZARE</v>
      </c>
      <c r="E32" s="44">
        <v>2014</v>
      </c>
      <c r="F32" s="45" t="str">
        <f t="shared" si="2"/>
        <v>DDE</v>
      </c>
      <c r="G32" s="56">
        <f t="shared" si="0"/>
        <v>1</v>
      </c>
      <c r="H32" s="73">
        <v>0</v>
      </c>
      <c r="I32" s="73">
        <v>4886</v>
      </c>
      <c r="J32" s="112">
        <f t="shared" si="3"/>
        <v>4886</v>
      </c>
      <c r="K32" s="68"/>
    </row>
    <row r="33" spans="1:11" x14ac:dyDescent="0.2">
      <c r="A33" s="108">
        <v>11</v>
      </c>
      <c r="B33" s="72" t="str">
        <f>IF(A33&lt;&gt;"",'EDC - PARAMETRAGE'!$A$3,"")</f>
        <v>GROUPE DEBAYLE</v>
      </c>
      <c r="C33" s="72" t="str">
        <f>IF(A33&lt;&gt;"",VLOOKUP(A33,'EDC - PRODUCTION'!$A$7:$E$49,5,FALSE),"")</f>
        <v>DEBAYLE PARIS</v>
      </c>
      <c r="D33" s="72" t="str">
        <f>IF(A33&lt;&gt;"",VLOOKUP(A33,'EDC - PRODUCTION'!$A$7:$I$49,4,FALSE),"")</f>
        <v>16/18 RUE ST LAZARE</v>
      </c>
      <c r="E33" s="44">
        <v>2014</v>
      </c>
      <c r="F33" s="45" t="str">
        <f t="shared" si="2"/>
        <v>DDE</v>
      </c>
      <c r="G33" s="56">
        <f t="shared" si="0"/>
        <v>1</v>
      </c>
      <c r="H33" s="73">
        <v>1680</v>
      </c>
      <c r="I33" s="73">
        <v>0</v>
      </c>
      <c r="J33" s="112">
        <f t="shared" si="3"/>
        <v>1680</v>
      </c>
      <c r="K33" s="68"/>
    </row>
    <row r="34" spans="1:11" x14ac:dyDescent="0.2">
      <c r="A34" s="108">
        <v>11</v>
      </c>
      <c r="B34" s="72" t="str">
        <f>IF(A34&lt;&gt;"",'EDC - PARAMETRAGE'!$A$3,"")</f>
        <v>GROUPE DEBAYLE</v>
      </c>
      <c r="C34" s="72" t="str">
        <f>IF(A34&lt;&gt;"",VLOOKUP(A34,'EDC - PRODUCTION'!$A$7:$E$49,5,FALSE),"")</f>
        <v>DEBAYLE PARIS</v>
      </c>
      <c r="D34" s="72" t="str">
        <f>IF(A34&lt;&gt;"",VLOOKUP(A34,'EDC - PRODUCTION'!$A$7:$I$49,4,FALSE),"")</f>
        <v>16/18 RUE ST LAZARE</v>
      </c>
      <c r="E34" s="44">
        <v>2013</v>
      </c>
      <c r="F34" s="45" t="str">
        <f t="shared" si="2"/>
        <v>DDE</v>
      </c>
      <c r="G34" s="56">
        <f t="shared" si="0"/>
        <v>1</v>
      </c>
      <c r="H34" s="73">
        <v>0</v>
      </c>
      <c r="I34" s="73">
        <v>0</v>
      </c>
      <c r="J34" s="112">
        <f t="shared" si="3"/>
        <v>0</v>
      </c>
      <c r="K34" s="68"/>
    </row>
    <row r="35" spans="1:11" x14ac:dyDescent="0.2">
      <c r="A35" s="108">
        <v>11</v>
      </c>
      <c r="B35" s="72" t="str">
        <f>IF(A35&lt;&gt;"",'EDC - PARAMETRAGE'!$A$3,"")</f>
        <v>GROUPE DEBAYLE</v>
      </c>
      <c r="C35" s="72" t="str">
        <f>IF(A35&lt;&gt;"",VLOOKUP(A35,'EDC - PRODUCTION'!$A$7:$E$49,5,FALSE),"")</f>
        <v>DEBAYLE PARIS</v>
      </c>
      <c r="D35" s="72" t="str">
        <f>IF(A35&lt;&gt;"",VLOOKUP(A35,'EDC - PRODUCTION'!$A$7:$I$49,4,FALSE),"")</f>
        <v>16/18 RUE ST LAZARE</v>
      </c>
      <c r="E35" s="44">
        <v>2013</v>
      </c>
      <c r="F35" s="45" t="str">
        <f t="shared" si="2"/>
        <v>DDE</v>
      </c>
      <c r="G35" s="56">
        <f t="shared" si="0"/>
        <v>1</v>
      </c>
      <c r="H35" s="73">
        <v>0</v>
      </c>
      <c r="I35" s="73">
        <v>428</v>
      </c>
      <c r="J35" s="112">
        <f t="shared" si="3"/>
        <v>428</v>
      </c>
      <c r="K35" s="68"/>
    </row>
    <row r="36" spans="1:11" x14ac:dyDescent="0.2">
      <c r="A36" s="108">
        <v>11</v>
      </c>
      <c r="B36" s="72" t="str">
        <f>IF(A36&lt;&gt;"",'EDC - PARAMETRAGE'!$A$3,"")</f>
        <v>GROUPE DEBAYLE</v>
      </c>
      <c r="C36" s="72" t="str">
        <f>IF(A36&lt;&gt;"",VLOOKUP(A36,'EDC - PRODUCTION'!$A$7:$E$49,5,FALSE),"")</f>
        <v>DEBAYLE PARIS</v>
      </c>
      <c r="D36" s="72" t="str">
        <f>IF(A36&lt;&gt;"",VLOOKUP(A36,'EDC - PRODUCTION'!$A$7:$I$49,4,FALSE),"")</f>
        <v>16/18 RUE ST LAZARE</v>
      </c>
      <c r="E36" s="44">
        <v>2013</v>
      </c>
      <c r="F36" s="45" t="str">
        <f t="shared" si="2"/>
        <v>DDE</v>
      </c>
      <c r="G36" s="56">
        <f t="shared" si="0"/>
        <v>1</v>
      </c>
      <c r="H36" s="73">
        <v>0</v>
      </c>
      <c r="I36" s="73">
        <v>1670</v>
      </c>
      <c r="J36" s="112">
        <f t="shared" si="3"/>
        <v>1670</v>
      </c>
      <c r="K36" s="68"/>
    </row>
    <row r="37" spans="1:11" x14ac:dyDescent="0.2">
      <c r="A37" s="108">
        <v>11</v>
      </c>
      <c r="B37" s="72" t="str">
        <f>IF(A37&lt;&gt;"",'EDC - PARAMETRAGE'!$A$3,"")</f>
        <v>GROUPE DEBAYLE</v>
      </c>
      <c r="C37" s="72" t="str">
        <f>IF(A37&lt;&gt;"",VLOOKUP(A37,'EDC - PRODUCTION'!$A$7:$E$49,5,FALSE),"")</f>
        <v>DEBAYLE PARIS</v>
      </c>
      <c r="D37" s="72" t="str">
        <f>IF(A37&lt;&gt;"",VLOOKUP(A37,'EDC - PRODUCTION'!$A$7:$I$49,4,FALSE),"")</f>
        <v>16/18 RUE ST LAZARE</v>
      </c>
      <c r="E37" s="44">
        <v>2013</v>
      </c>
      <c r="F37" s="45" t="str">
        <f t="shared" si="2"/>
        <v>DDE</v>
      </c>
      <c r="G37" s="56">
        <f t="shared" si="0"/>
        <v>1</v>
      </c>
      <c r="H37" s="73">
        <v>0</v>
      </c>
      <c r="I37" s="73">
        <v>3702</v>
      </c>
      <c r="J37" s="112">
        <f t="shared" si="3"/>
        <v>3702</v>
      </c>
      <c r="K37" s="68"/>
    </row>
    <row r="38" spans="1:11" x14ac:dyDescent="0.2">
      <c r="A38" s="108">
        <v>11</v>
      </c>
      <c r="B38" s="72" t="str">
        <f>IF(A38&lt;&gt;"",'EDC - PARAMETRAGE'!$A$3,"")</f>
        <v>GROUPE DEBAYLE</v>
      </c>
      <c r="C38" s="72" t="str">
        <f>IF(A38&lt;&gt;"",VLOOKUP(A38,'EDC - PRODUCTION'!$A$7:$E$49,5,FALSE),"")</f>
        <v>DEBAYLE PARIS</v>
      </c>
      <c r="D38" s="72" t="str">
        <f>IF(A38&lt;&gt;"",VLOOKUP(A38,'EDC - PRODUCTION'!$A$7:$I$49,4,FALSE),"")</f>
        <v>16/18 RUE ST LAZARE</v>
      </c>
      <c r="E38" s="44">
        <v>2013</v>
      </c>
      <c r="F38" s="45" t="str">
        <f t="shared" si="2"/>
        <v>DDE</v>
      </c>
      <c r="G38" s="56">
        <f t="shared" si="0"/>
        <v>1</v>
      </c>
      <c r="H38" s="73">
        <v>0</v>
      </c>
      <c r="I38" s="73">
        <v>1312</v>
      </c>
      <c r="J38" s="112">
        <f t="shared" si="3"/>
        <v>1312</v>
      </c>
      <c r="K38" s="68"/>
    </row>
    <row r="39" spans="1:11" x14ac:dyDescent="0.2">
      <c r="A39" s="108">
        <v>11</v>
      </c>
      <c r="B39" s="72" t="str">
        <f>IF(A39&lt;&gt;"",'EDC - PARAMETRAGE'!$A$3,"")</f>
        <v>GROUPE DEBAYLE</v>
      </c>
      <c r="C39" s="72" t="str">
        <f>IF(A39&lt;&gt;"",VLOOKUP(A39,'EDC - PRODUCTION'!$A$7:$E$49,5,FALSE),"")</f>
        <v>DEBAYLE PARIS</v>
      </c>
      <c r="D39" s="72" t="str">
        <f>IF(A39&lt;&gt;"",VLOOKUP(A39,'EDC - PRODUCTION'!$A$7:$I$49,4,FALSE),"")</f>
        <v>16/18 RUE ST LAZARE</v>
      </c>
      <c r="E39" s="44">
        <v>2013</v>
      </c>
      <c r="F39" s="45" t="s">
        <v>56</v>
      </c>
      <c r="G39" s="56">
        <f t="shared" si="0"/>
        <v>1</v>
      </c>
      <c r="H39" s="73">
        <v>0</v>
      </c>
      <c r="I39" s="73">
        <v>1540</v>
      </c>
      <c r="J39" s="112">
        <f t="shared" si="3"/>
        <v>1540</v>
      </c>
      <c r="K39" s="68"/>
    </row>
    <row r="40" spans="1:11" x14ac:dyDescent="0.2">
      <c r="A40" s="108">
        <v>3</v>
      </c>
      <c r="B40" s="72" t="str">
        <f>IF(A40&lt;&gt;"",'EDC - PARAMETRAGE'!$A$3,"")</f>
        <v>GROUPE DEBAYLE</v>
      </c>
      <c r="C40" s="72" t="str">
        <f>IF(A40&lt;&gt;"",VLOOKUP(A40,'EDC - PRODUCTION'!$A$7:$E$49,5,FALSE),"")</f>
        <v>DEBAYLE PARIS</v>
      </c>
      <c r="D40" s="72" t="str">
        <f>IF(A40&lt;&gt;"",VLOOKUP(A40,'EDC - PRODUCTION'!$A$7:$I$49,4,FALSE),"")</f>
        <v>57 RUE RODIER</v>
      </c>
      <c r="E40" s="44">
        <v>2014</v>
      </c>
      <c r="F40" s="45" t="str">
        <f t="shared" si="2"/>
        <v>DDE</v>
      </c>
      <c r="G40" s="56">
        <f t="shared" si="0"/>
        <v>1</v>
      </c>
      <c r="H40" s="73">
        <v>0</v>
      </c>
      <c r="I40" s="73">
        <v>205</v>
      </c>
      <c r="J40" s="112">
        <f t="shared" si="3"/>
        <v>205</v>
      </c>
      <c r="K40" s="68"/>
    </row>
    <row r="41" spans="1:11" x14ac:dyDescent="0.2">
      <c r="A41" s="108">
        <v>3</v>
      </c>
      <c r="B41" s="72" t="str">
        <f>IF(A41&lt;&gt;"",'EDC - PARAMETRAGE'!$A$3,"")</f>
        <v>GROUPE DEBAYLE</v>
      </c>
      <c r="C41" s="72" t="str">
        <f>IF(A41&lt;&gt;"",VLOOKUP(A41,'EDC - PRODUCTION'!$A$7:$E$49,5,FALSE),"")</f>
        <v>DEBAYLE PARIS</v>
      </c>
      <c r="D41" s="72" t="str">
        <f>IF(A41&lt;&gt;"",VLOOKUP(A41,'EDC - PRODUCTION'!$A$7:$I$49,4,FALSE),"")</f>
        <v>57 RUE RODIER</v>
      </c>
      <c r="E41" s="44">
        <v>2014</v>
      </c>
      <c r="F41" s="45" t="str">
        <f t="shared" si="2"/>
        <v>DDE</v>
      </c>
      <c r="G41" s="56">
        <f t="shared" si="0"/>
        <v>1</v>
      </c>
      <c r="H41" s="73">
        <v>0</v>
      </c>
      <c r="I41" s="73">
        <v>1261</v>
      </c>
      <c r="J41" s="112">
        <f t="shared" si="3"/>
        <v>1261</v>
      </c>
      <c r="K41" s="68"/>
    </row>
    <row r="42" spans="1:11" x14ac:dyDescent="0.2">
      <c r="A42" s="108">
        <v>28</v>
      </c>
      <c r="B42" s="72" t="str">
        <f>IF(A42&lt;&gt;"",'EDC - PARAMETRAGE'!$A$3,"")</f>
        <v>GROUPE DEBAYLE</v>
      </c>
      <c r="C42" s="72" t="str">
        <f>IF(A42&lt;&gt;"",VLOOKUP(A42,'EDC - PRODUCTION'!$A$7:$E$49,5,FALSE),"")</f>
        <v>DEBAYLE PARIS</v>
      </c>
      <c r="D42" s="72" t="str">
        <f>IF(A42&lt;&gt;"",VLOOKUP(A42,'EDC - PRODUCTION'!$A$7:$I$49,4,FALSE),"")</f>
        <v>134/136 RUE CARDINET</v>
      </c>
      <c r="E42" s="44">
        <v>2016</v>
      </c>
      <c r="F42" s="45" t="str">
        <f t="shared" si="2"/>
        <v>DDE</v>
      </c>
      <c r="G42" s="56">
        <f t="shared" si="0"/>
        <v>1</v>
      </c>
      <c r="H42" s="73">
        <v>0</v>
      </c>
      <c r="I42" s="73">
        <v>0</v>
      </c>
      <c r="J42" s="112">
        <f t="shared" si="3"/>
        <v>0</v>
      </c>
      <c r="K42" s="68"/>
    </row>
    <row r="43" spans="1:11" x14ac:dyDescent="0.2">
      <c r="A43" s="108">
        <v>24</v>
      </c>
      <c r="B43" s="72" t="str">
        <f>IF(A43&lt;&gt;"",'EDC - PARAMETRAGE'!$A$3,"")</f>
        <v>GROUPE DEBAYLE</v>
      </c>
      <c r="C43" s="72" t="str">
        <f>IF(A43&lt;&gt;"",VLOOKUP(A43,'EDC - PRODUCTION'!$A$7:$E$49,5,FALSE),"")</f>
        <v>DEBAYLE PARIS</v>
      </c>
      <c r="D43" s="72" t="str">
        <f>IF(A43&lt;&gt;"",VLOOKUP(A43,'EDC - PRODUCTION'!$A$7:$I$49,4,FALSE),"")</f>
        <v>20 RUE PAUL BERT</v>
      </c>
      <c r="E43" s="44">
        <v>2015</v>
      </c>
      <c r="F43" s="45" t="s">
        <v>54</v>
      </c>
      <c r="G43" s="56">
        <f t="shared" si="0"/>
        <v>1</v>
      </c>
      <c r="H43" s="73"/>
      <c r="I43" s="73">
        <v>2276</v>
      </c>
      <c r="J43" s="112">
        <f t="shared" si="3"/>
        <v>2276</v>
      </c>
      <c r="K43" s="68"/>
    </row>
    <row r="44" spans="1:11" x14ac:dyDescent="0.2">
      <c r="A44" s="108">
        <v>2</v>
      </c>
      <c r="B44" s="72" t="str">
        <f>IF(A44&lt;&gt;"",'EDC - PARAMETRAGE'!$A$3,"")</f>
        <v>GROUPE DEBAYLE</v>
      </c>
      <c r="C44" s="72" t="str">
        <f>IF(A44&lt;&gt;"",VLOOKUP(A44,'EDC - PRODUCTION'!$A$7:$E$49,5,FALSE),"")</f>
        <v>DEBAYLE PARIS</v>
      </c>
      <c r="D44" s="72" t="str">
        <f>IF(A44&lt;&gt;"",VLOOKUP(A44,'EDC - PRODUCTION'!$A$7:$I$49,4,FALSE),"")</f>
        <v xml:space="preserve">48 RUE RICHER </v>
      </c>
      <c r="E44" s="44">
        <v>2014</v>
      </c>
      <c r="F44" s="45" t="str">
        <f t="shared" si="2"/>
        <v>DDE</v>
      </c>
      <c r="G44" s="56">
        <f t="shared" si="0"/>
        <v>1</v>
      </c>
      <c r="H44" s="73"/>
      <c r="I44" s="73">
        <v>880</v>
      </c>
      <c r="J44" s="112">
        <f t="shared" si="3"/>
        <v>880</v>
      </c>
      <c r="K44" s="68"/>
    </row>
    <row r="45" spans="1:11" x14ac:dyDescent="0.2">
      <c r="A45" s="108">
        <v>2</v>
      </c>
      <c r="B45" s="72" t="str">
        <f>IF(A45&lt;&gt;"",'EDC - PARAMETRAGE'!$A$3,"")</f>
        <v>GROUPE DEBAYLE</v>
      </c>
      <c r="C45" s="72" t="str">
        <f>IF(A45&lt;&gt;"",VLOOKUP(A45,'EDC - PRODUCTION'!$A$7:$E$49,5,FALSE),"")</f>
        <v>DEBAYLE PARIS</v>
      </c>
      <c r="D45" s="72" t="str">
        <f>IF(A45&lt;&gt;"",VLOOKUP(A45,'EDC - PRODUCTION'!$A$7:$I$49,4,FALSE),"")</f>
        <v xml:space="preserve">48 RUE RICHER </v>
      </c>
      <c r="E45" s="44">
        <v>2013</v>
      </c>
      <c r="F45" s="45" t="s">
        <v>63</v>
      </c>
      <c r="G45" s="56">
        <f t="shared" si="0"/>
        <v>1</v>
      </c>
      <c r="H45" s="73"/>
      <c r="I45" s="73">
        <v>228</v>
      </c>
      <c r="J45" s="112">
        <f t="shared" si="3"/>
        <v>228</v>
      </c>
      <c r="K45" s="68"/>
    </row>
    <row r="46" spans="1:11" x14ac:dyDescent="0.2">
      <c r="A46" s="108">
        <v>2</v>
      </c>
      <c r="B46" s="72" t="str">
        <f>IF(A46&lt;&gt;"",'EDC - PARAMETRAGE'!$A$3,"")</f>
        <v>GROUPE DEBAYLE</v>
      </c>
      <c r="C46" s="72" t="str">
        <f>IF(A46&lt;&gt;"",VLOOKUP(A46,'EDC - PRODUCTION'!$A$7:$E$49,5,FALSE),"")</f>
        <v>DEBAYLE PARIS</v>
      </c>
      <c r="D46" s="72" t="str">
        <f>IF(A46&lt;&gt;"",VLOOKUP(A46,'EDC - PRODUCTION'!$A$7:$I$49,4,FALSE),"")</f>
        <v xml:space="preserve">48 RUE RICHER </v>
      </c>
      <c r="E46" s="44">
        <v>2013</v>
      </c>
      <c r="F46" s="45" t="s">
        <v>56</v>
      </c>
      <c r="G46" s="56">
        <f t="shared" si="0"/>
        <v>1</v>
      </c>
      <c r="H46" s="73"/>
      <c r="I46" s="73">
        <v>1634</v>
      </c>
      <c r="J46" s="112">
        <f t="shared" si="3"/>
        <v>1634</v>
      </c>
      <c r="K46" s="68"/>
    </row>
    <row r="47" spans="1:11" x14ac:dyDescent="0.2">
      <c r="A47" s="108">
        <v>2</v>
      </c>
      <c r="B47" s="72" t="str">
        <f>IF(A47&lt;&gt;"",'EDC - PARAMETRAGE'!$A$3,"")</f>
        <v>GROUPE DEBAYLE</v>
      </c>
      <c r="C47" s="72" t="str">
        <f>IF(A47&lt;&gt;"",VLOOKUP(A47,'EDC - PRODUCTION'!$A$7:$E$49,5,FALSE),"")</f>
        <v>DEBAYLE PARIS</v>
      </c>
      <c r="D47" s="72" t="str">
        <f>IF(A47&lt;&gt;"",VLOOKUP(A47,'EDC - PRODUCTION'!$A$7:$I$49,4,FALSE),"")</f>
        <v xml:space="preserve">48 RUE RICHER </v>
      </c>
      <c r="E47" s="44">
        <v>2013</v>
      </c>
      <c r="F47" s="45" t="s">
        <v>56</v>
      </c>
      <c r="G47" s="56">
        <f t="shared" si="0"/>
        <v>1</v>
      </c>
      <c r="H47" s="73"/>
      <c r="I47" s="73">
        <v>264</v>
      </c>
      <c r="J47" s="112">
        <f t="shared" si="3"/>
        <v>264</v>
      </c>
      <c r="K47" s="68"/>
    </row>
    <row r="48" spans="1:11" x14ac:dyDescent="0.2">
      <c r="A48" s="108">
        <v>2</v>
      </c>
      <c r="B48" s="72" t="str">
        <f>IF(A48&lt;&gt;"",'EDC - PARAMETRAGE'!$A$3,"")</f>
        <v>GROUPE DEBAYLE</v>
      </c>
      <c r="C48" s="72" t="str">
        <f>IF(A48&lt;&gt;"",VLOOKUP(A48,'EDC - PRODUCTION'!$A$7:$E$49,5,FALSE),"")</f>
        <v>DEBAYLE PARIS</v>
      </c>
      <c r="D48" s="72" t="str">
        <f>IF(A48&lt;&gt;"",VLOOKUP(A48,'EDC - PRODUCTION'!$A$7:$I$49,4,FALSE),"")</f>
        <v xml:space="preserve">48 RUE RICHER </v>
      </c>
      <c r="E48" s="44">
        <v>2013</v>
      </c>
      <c r="F48" s="45" t="s">
        <v>56</v>
      </c>
      <c r="G48" s="56">
        <f t="shared" si="0"/>
        <v>1</v>
      </c>
      <c r="H48" s="73"/>
      <c r="I48" s="73">
        <v>180</v>
      </c>
      <c r="J48" s="112">
        <f t="shared" si="3"/>
        <v>180</v>
      </c>
      <c r="K48" s="68"/>
    </row>
    <row r="49" spans="1:11" x14ac:dyDescent="0.2">
      <c r="A49" s="108"/>
      <c r="B49" s="72" t="str">
        <f>IF(A49&lt;&gt;"",'EDC - PARAMETRAGE'!$A$3,"")</f>
        <v/>
      </c>
      <c r="C49" s="72" t="str">
        <f>IF(A49&lt;&gt;"",VLOOKUP(A49,'EDC - PRODUCTION'!$A$7:$E$49,5,FALSE),"")</f>
        <v/>
      </c>
      <c r="D49" s="72" t="str">
        <f>IF(A49&lt;&gt;"",VLOOKUP(A49,'EDC - PRODUCTION'!$A$7:$I$49,4,FALSE),"")</f>
        <v/>
      </c>
      <c r="E49" s="44"/>
      <c r="F49" s="45"/>
      <c r="G49" s="56" t="str">
        <f t="shared" si="0"/>
        <v/>
      </c>
      <c r="H49" s="73"/>
      <c r="I49" s="73"/>
      <c r="J49" s="112" t="str">
        <f t="shared" si="3"/>
        <v/>
      </c>
      <c r="K49" s="68"/>
    </row>
    <row r="50" spans="1:11" x14ac:dyDescent="0.2">
      <c r="A50" s="108"/>
      <c r="B50" s="72" t="str">
        <f>IF(A50&lt;&gt;"",'EDC - PARAMETRAGE'!$A$3,"")</f>
        <v/>
      </c>
      <c r="C50" s="72" t="str">
        <f>IF(A50&lt;&gt;"",VLOOKUP(A50,'EDC - PRODUCTION'!$A$7:$E$49,5,FALSE),"")</f>
        <v/>
      </c>
      <c r="D50" s="72" t="str">
        <f>IF(A50&lt;&gt;"",VLOOKUP(A50,'EDC - PRODUCTION'!$A$7:$I$49,4,FALSE),"")</f>
        <v/>
      </c>
      <c r="E50" s="44"/>
      <c r="F50" s="45" t="str">
        <f t="shared" si="2"/>
        <v/>
      </c>
      <c r="G50" s="56" t="str">
        <f t="shared" si="0"/>
        <v/>
      </c>
      <c r="H50" s="73"/>
      <c r="I50" s="73"/>
      <c r="J50" s="112" t="str">
        <f t="shared" si="3"/>
        <v/>
      </c>
      <c r="K50" s="68"/>
    </row>
    <row r="51" spans="1:11" x14ac:dyDescent="0.2">
      <c r="A51" s="108"/>
      <c r="B51" s="72" t="str">
        <f>IF(A51&lt;&gt;"",'EDC - PARAMETRAGE'!$A$3,"")</f>
        <v/>
      </c>
      <c r="C51" s="72" t="str">
        <f>IF(A51&lt;&gt;"",VLOOKUP(A51,'EDC - PRODUCTION'!$A$7:$E$49,5,FALSE),"")</f>
        <v/>
      </c>
      <c r="D51" s="72" t="str">
        <f>IF(A51&lt;&gt;"",VLOOKUP(A51,'EDC - PRODUCTION'!$A$7:$I$49,4,FALSE),"")</f>
        <v/>
      </c>
      <c r="E51" s="44"/>
      <c r="F51" s="45" t="str">
        <f t="shared" si="2"/>
        <v/>
      </c>
      <c r="G51" s="56" t="str">
        <f t="shared" si="0"/>
        <v/>
      </c>
      <c r="H51" s="73"/>
      <c r="I51" s="73"/>
      <c r="J51" s="112" t="str">
        <f t="shared" si="3"/>
        <v/>
      </c>
      <c r="K51" s="68"/>
    </row>
    <row r="52" spans="1:11" x14ac:dyDescent="0.2">
      <c r="A52" s="108"/>
      <c r="B52" s="72" t="str">
        <f>IF(A52&lt;&gt;"",'EDC - PARAMETRAGE'!$A$3,"")</f>
        <v/>
      </c>
      <c r="C52" s="72" t="str">
        <f>IF(A52&lt;&gt;"",VLOOKUP(A52,'EDC - PRODUCTION'!$A$7:$E$49,5,FALSE),"")</f>
        <v/>
      </c>
      <c r="D52" s="72" t="str">
        <f>IF(A52&lt;&gt;"",VLOOKUP(A52,'EDC - PRODUCTION'!$A$7:$I$49,4,FALSE),"")</f>
        <v/>
      </c>
      <c r="E52" s="44"/>
      <c r="F52" s="45" t="str">
        <f t="shared" si="2"/>
        <v/>
      </c>
      <c r="G52" s="56" t="str">
        <f t="shared" si="0"/>
        <v/>
      </c>
      <c r="H52" s="73"/>
      <c r="I52" s="73"/>
      <c r="J52" s="112" t="str">
        <f t="shared" si="3"/>
        <v/>
      </c>
      <c r="K52" s="68"/>
    </row>
    <row r="53" spans="1:11" x14ac:dyDescent="0.2">
      <c r="A53" s="108"/>
      <c r="B53" s="72" t="str">
        <f>IF(A53&lt;&gt;"",'EDC - PARAMETRAGE'!$A$3,"")</f>
        <v/>
      </c>
      <c r="C53" s="72" t="str">
        <f>IF(A53&lt;&gt;"",VLOOKUP(A53,'EDC - PRODUCTION'!$A$7:$E$49,5,FALSE),"")</f>
        <v/>
      </c>
      <c r="D53" s="72" t="str">
        <f>IF(A53&lt;&gt;"",VLOOKUP(A53,'EDC - PRODUCTION'!$A$7:$I$49,4,FALSE),"")</f>
        <v/>
      </c>
      <c r="E53" s="44"/>
      <c r="F53" s="45" t="str">
        <f t="shared" si="2"/>
        <v/>
      </c>
      <c r="G53" s="56" t="str">
        <f t="shared" si="0"/>
        <v/>
      </c>
      <c r="H53" s="73"/>
      <c r="I53" s="73"/>
      <c r="J53" s="112" t="str">
        <f t="shared" si="3"/>
        <v/>
      </c>
      <c r="K53" s="68"/>
    </row>
    <row r="54" spans="1:11" x14ac:dyDescent="0.2">
      <c r="A54" s="108"/>
      <c r="B54" s="72" t="str">
        <f>IF(A54&lt;&gt;"",'EDC - PARAMETRAGE'!$A$3,"")</f>
        <v/>
      </c>
      <c r="C54" s="72" t="str">
        <f>IF(A54&lt;&gt;"",VLOOKUP(A54,'EDC - PRODUCTION'!$A$7:$E$49,5,FALSE),"")</f>
        <v/>
      </c>
      <c r="D54" s="72" t="str">
        <f>IF(A54&lt;&gt;"",VLOOKUP(A54,'EDC - PRODUCTION'!$A$7:$I$49,4,FALSE),"")</f>
        <v/>
      </c>
      <c r="E54" s="44"/>
      <c r="F54" s="45" t="str">
        <f t="shared" si="2"/>
        <v/>
      </c>
      <c r="G54" s="56" t="str">
        <f t="shared" si="0"/>
        <v/>
      </c>
      <c r="H54" s="73"/>
      <c r="I54" s="73"/>
      <c r="J54" s="112" t="str">
        <f t="shared" si="3"/>
        <v/>
      </c>
      <c r="K54" s="68"/>
    </row>
    <row r="55" spans="1:11" x14ac:dyDescent="0.2">
      <c r="A55" s="108"/>
      <c r="B55" s="72" t="str">
        <f>IF(A55&lt;&gt;"",'EDC - PARAMETRAGE'!$A$3,"")</f>
        <v/>
      </c>
      <c r="C55" s="72" t="str">
        <f>IF(A55&lt;&gt;"",VLOOKUP(A55,'EDC - PRODUCTION'!$A$7:$E$49,5,FALSE),"")</f>
        <v/>
      </c>
      <c r="D55" s="72" t="str">
        <f>IF(A55&lt;&gt;"",VLOOKUP(A55,'EDC - PRODUCTION'!$A$7:$I$49,4,FALSE),"")</f>
        <v/>
      </c>
      <c r="E55" s="44"/>
      <c r="F55" s="45" t="str">
        <f t="shared" si="2"/>
        <v/>
      </c>
      <c r="G55" s="56" t="str">
        <f t="shared" si="0"/>
        <v/>
      </c>
      <c r="H55" s="73"/>
      <c r="I55" s="73"/>
      <c r="J55" s="112" t="str">
        <f t="shared" si="3"/>
        <v/>
      </c>
      <c r="K55" s="68"/>
    </row>
    <row r="56" spans="1:11" x14ac:dyDescent="0.2">
      <c r="A56" s="108"/>
      <c r="B56" s="72" t="str">
        <f>IF(A56&lt;&gt;"",'EDC - PARAMETRAGE'!$A$3,"")</f>
        <v/>
      </c>
      <c r="C56" s="72" t="str">
        <f>IF(A56&lt;&gt;"",VLOOKUP(A56,'EDC - PRODUCTION'!$A$7:$E$49,5,FALSE),"")</f>
        <v/>
      </c>
      <c r="D56" s="72" t="str">
        <f>IF(A56&lt;&gt;"",VLOOKUP(A56,'EDC - PRODUCTION'!$A$7:$I$49,4,FALSE),"")</f>
        <v/>
      </c>
      <c r="E56" s="44"/>
      <c r="F56" s="45" t="str">
        <f t="shared" si="2"/>
        <v/>
      </c>
      <c r="G56" s="56" t="str">
        <f t="shared" si="0"/>
        <v/>
      </c>
      <c r="H56" s="73"/>
      <c r="I56" s="73"/>
      <c r="J56" s="112" t="str">
        <f t="shared" si="3"/>
        <v/>
      </c>
      <c r="K56" s="68"/>
    </row>
    <row r="57" spans="1:11" x14ac:dyDescent="0.2">
      <c r="A57" s="108"/>
      <c r="B57" s="72" t="str">
        <f>IF(A57&lt;&gt;"",'EDC - PARAMETRAGE'!$A$3,"")</f>
        <v/>
      </c>
      <c r="C57" s="72" t="str">
        <f>IF(A57&lt;&gt;"",VLOOKUP(A57,'EDC - PRODUCTION'!$A$7:$E$49,5,FALSE),"")</f>
        <v/>
      </c>
      <c r="D57" s="72" t="str">
        <f>IF(A57&lt;&gt;"",VLOOKUP(A57,'EDC - PRODUCTION'!$A$7:$I$49,4,FALSE),"")</f>
        <v/>
      </c>
      <c r="E57" s="44"/>
      <c r="F57" s="45" t="str">
        <f t="shared" si="2"/>
        <v/>
      </c>
      <c r="G57" s="56" t="str">
        <f t="shared" si="0"/>
        <v/>
      </c>
      <c r="H57" s="73"/>
      <c r="I57" s="73"/>
      <c r="J57" s="112" t="str">
        <f t="shared" si="3"/>
        <v/>
      </c>
      <c r="K57" s="68"/>
    </row>
    <row r="58" spans="1:11" x14ac:dyDescent="0.2">
      <c r="A58" s="108"/>
      <c r="B58" s="72" t="str">
        <f>IF(A58&lt;&gt;"",'EDC - PARAMETRAGE'!$A$3,"")</f>
        <v/>
      </c>
      <c r="C58" s="72" t="str">
        <f>IF(A58&lt;&gt;"",VLOOKUP(A58,'EDC - PRODUCTION'!$A$7:$E$49,5,FALSE),"")</f>
        <v/>
      </c>
      <c r="D58" s="72" t="str">
        <f>IF(A58&lt;&gt;"",VLOOKUP(A58,'EDC - PRODUCTION'!$A$7:$I$49,4,FALSE),"")</f>
        <v/>
      </c>
      <c r="E58" s="44"/>
      <c r="F58" s="45" t="str">
        <f t="shared" si="2"/>
        <v/>
      </c>
      <c r="G58" s="56" t="str">
        <f t="shared" si="0"/>
        <v/>
      </c>
      <c r="H58" s="73"/>
      <c r="I58" s="73"/>
      <c r="J58" s="112" t="str">
        <f t="shared" si="3"/>
        <v/>
      </c>
      <c r="K58" s="68"/>
    </row>
    <row r="59" spans="1:11" x14ac:dyDescent="0.2">
      <c r="A59" s="108"/>
      <c r="B59" s="72" t="str">
        <f>IF(A59&lt;&gt;"",'EDC - PARAMETRAGE'!$A$3,"")</f>
        <v/>
      </c>
      <c r="C59" s="72" t="str">
        <f>IF(A59&lt;&gt;"",VLOOKUP(A59,'EDC - PRODUCTION'!$A$7:$E$49,5,FALSE),"")</f>
        <v/>
      </c>
      <c r="D59" s="72" t="str">
        <f>IF(A59&lt;&gt;"",VLOOKUP(A59,'EDC - PRODUCTION'!$A$7:$I$49,4,FALSE),"")</f>
        <v/>
      </c>
      <c r="E59" s="44"/>
      <c r="F59" s="45" t="str">
        <f t="shared" si="2"/>
        <v/>
      </c>
      <c r="G59" s="56" t="str">
        <f t="shared" si="0"/>
        <v/>
      </c>
      <c r="H59" s="73"/>
      <c r="I59" s="73"/>
      <c r="J59" s="112" t="str">
        <f t="shared" si="3"/>
        <v/>
      </c>
      <c r="K59" s="68"/>
    </row>
    <row r="60" spans="1:11" x14ac:dyDescent="0.2">
      <c r="A60" s="108"/>
      <c r="B60" s="72" t="str">
        <f>IF(A60&lt;&gt;"",'EDC - PARAMETRAGE'!$A$3,"")</f>
        <v/>
      </c>
      <c r="C60" s="72" t="str">
        <f>IF(A60&lt;&gt;"",VLOOKUP(A60,'EDC - PRODUCTION'!$A$7:$E$49,5,FALSE),"")</f>
        <v/>
      </c>
      <c r="D60" s="72" t="str">
        <f>IF(A60&lt;&gt;"",VLOOKUP(A60,'EDC - PRODUCTION'!$A$7:$I$49,4,FALSE),"")</f>
        <v/>
      </c>
      <c r="E60" s="44"/>
      <c r="F60" s="45" t="str">
        <f t="shared" si="2"/>
        <v/>
      </c>
      <c r="G60" s="56" t="str">
        <f t="shared" si="0"/>
        <v/>
      </c>
      <c r="H60" s="73"/>
      <c r="I60" s="73"/>
      <c r="J60" s="112" t="str">
        <f t="shared" si="3"/>
        <v/>
      </c>
      <c r="K60" s="68"/>
    </row>
    <row r="61" spans="1:11" x14ac:dyDescent="0.2">
      <c r="A61" s="108"/>
      <c r="B61" s="72" t="str">
        <f>IF(A61&lt;&gt;"",'EDC - PARAMETRAGE'!$A$3,"")</f>
        <v/>
      </c>
      <c r="C61" s="72" t="str">
        <f>IF(A61&lt;&gt;"",VLOOKUP(A61,'EDC - PRODUCTION'!$A$7:$E$49,5,FALSE),"")</f>
        <v/>
      </c>
      <c r="D61" s="72" t="str">
        <f>IF(A61&lt;&gt;"",VLOOKUP(A61,'EDC - PRODUCTION'!$A$7:$I$49,4,FALSE),"")</f>
        <v/>
      </c>
      <c r="E61" s="44"/>
      <c r="F61" s="45" t="str">
        <f t="shared" si="2"/>
        <v/>
      </c>
      <c r="G61" s="56" t="str">
        <f t="shared" si="0"/>
        <v/>
      </c>
      <c r="H61" s="73"/>
      <c r="I61" s="73"/>
      <c r="J61" s="112" t="str">
        <f t="shared" si="3"/>
        <v/>
      </c>
      <c r="K61" s="68"/>
    </row>
    <row r="62" spans="1:11" x14ac:dyDescent="0.2">
      <c r="A62" s="108"/>
      <c r="B62" s="72" t="str">
        <f>IF(A62&lt;&gt;"",'EDC - PARAMETRAGE'!$A$3,"")</f>
        <v/>
      </c>
      <c r="C62" s="72" t="str">
        <f>IF(A62&lt;&gt;"",VLOOKUP(A62,'EDC - PRODUCTION'!$A$7:$E$49,5,FALSE),"")</f>
        <v/>
      </c>
      <c r="D62" s="72" t="str">
        <f>IF(A62&lt;&gt;"",VLOOKUP(A62,'EDC - PRODUCTION'!$A$7:$I$49,4,FALSE),"")</f>
        <v/>
      </c>
      <c r="E62" s="44"/>
      <c r="F62" s="45" t="str">
        <f t="shared" si="2"/>
        <v/>
      </c>
      <c r="G62" s="56" t="str">
        <f t="shared" si="0"/>
        <v/>
      </c>
      <c r="H62" s="73"/>
      <c r="I62" s="73"/>
      <c r="J62" s="112" t="str">
        <f t="shared" si="3"/>
        <v/>
      </c>
      <c r="K62" s="68"/>
    </row>
    <row r="63" spans="1:11" x14ac:dyDescent="0.2">
      <c r="A63" s="108"/>
      <c r="B63" s="72" t="str">
        <f>IF(A63&lt;&gt;"",'EDC - PARAMETRAGE'!$A$3,"")</f>
        <v/>
      </c>
      <c r="C63" s="72" t="str">
        <f>IF(A63&lt;&gt;"",VLOOKUP(A63,'EDC - PRODUCTION'!$A$7:$E$49,5,FALSE),"")</f>
        <v/>
      </c>
      <c r="D63" s="72" t="str">
        <f>IF(A63&lt;&gt;"",VLOOKUP(A63,'EDC - PRODUCTION'!$A$7:$I$49,4,FALSE),"")</f>
        <v/>
      </c>
      <c r="E63" s="44"/>
      <c r="F63" s="45" t="str">
        <f t="shared" si="2"/>
        <v/>
      </c>
      <c r="G63" s="56" t="str">
        <f t="shared" si="0"/>
        <v/>
      </c>
      <c r="H63" s="73"/>
      <c r="I63" s="73"/>
      <c r="J63" s="112" t="str">
        <f t="shared" si="3"/>
        <v/>
      </c>
      <c r="K63" s="68"/>
    </row>
    <row r="64" spans="1:11" x14ac:dyDescent="0.2">
      <c r="A64" s="108"/>
      <c r="B64" s="72" t="str">
        <f>IF(A64&lt;&gt;"",'EDC - PARAMETRAGE'!$A$3,"")</f>
        <v/>
      </c>
      <c r="C64" s="72" t="str">
        <f>IF(A64&lt;&gt;"",VLOOKUP(A64,'EDC - PRODUCTION'!$A$7:$E$49,5,FALSE),"")</f>
        <v/>
      </c>
      <c r="D64" s="72" t="str">
        <f>IF(A64&lt;&gt;"",VLOOKUP(A64,'EDC - PRODUCTION'!$A$7:$I$49,4,FALSE),"")</f>
        <v/>
      </c>
      <c r="E64" s="44"/>
      <c r="F64" s="45" t="str">
        <f t="shared" si="2"/>
        <v/>
      </c>
      <c r="G64" s="56" t="str">
        <f t="shared" si="0"/>
        <v/>
      </c>
      <c r="H64" s="73"/>
      <c r="I64" s="73"/>
      <c r="J64" s="112" t="str">
        <f t="shared" si="3"/>
        <v/>
      </c>
      <c r="K64" s="68"/>
    </row>
    <row r="65" spans="1:11" x14ac:dyDescent="0.2">
      <c r="A65" s="108"/>
      <c r="B65" s="72" t="str">
        <f>IF(A65&lt;&gt;"",'EDC - PARAMETRAGE'!$A$3,"")</f>
        <v/>
      </c>
      <c r="C65" s="72" t="str">
        <f>IF(A65&lt;&gt;"",VLOOKUP(A65,'EDC - PRODUCTION'!$A$7:$E$49,5,FALSE),"")</f>
        <v/>
      </c>
      <c r="D65" s="72" t="str">
        <f>IF(A65&lt;&gt;"",VLOOKUP(A65,'EDC - PRODUCTION'!$A$7:$I$49,4,FALSE),"")</f>
        <v/>
      </c>
      <c r="E65" s="44"/>
      <c r="F65" s="45" t="str">
        <f t="shared" si="2"/>
        <v/>
      </c>
      <c r="G65" s="56" t="str">
        <f t="shared" si="0"/>
        <v/>
      </c>
      <c r="H65" s="73"/>
      <c r="I65" s="73"/>
      <c r="J65" s="112" t="str">
        <f t="shared" si="3"/>
        <v/>
      </c>
      <c r="K65" s="68"/>
    </row>
    <row r="66" spans="1:11" x14ac:dyDescent="0.2">
      <c r="A66" s="108"/>
      <c r="B66" s="72" t="str">
        <f>IF(A66&lt;&gt;"",'EDC - PARAMETRAGE'!$A$3,"")</f>
        <v/>
      </c>
      <c r="C66" s="72" t="str">
        <f>IF(A66&lt;&gt;"",VLOOKUP(A66,'EDC - PRODUCTION'!$A$7:$E$49,5,FALSE),"")</f>
        <v/>
      </c>
      <c r="D66" s="72" t="str">
        <f>IF(A66&lt;&gt;"",VLOOKUP(A66,'EDC - PRODUCTION'!$A$7:$I$49,4,FALSE),"")</f>
        <v/>
      </c>
      <c r="E66" s="44"/>
      <c r="F66" s="45" t="str">
        <f t="shared" si="2"/>
        <v/>
      </c>
      <c r="G66" s="56" t="str">
        <f t="shared" si="0"/>
        <v/>
      </c>
      <c r="H66" s="73"/>
      <c r="I66" s="73"/>
      <c r="J66" s="112" t="str">
        <f t="shared" si="3"/>
        <v/>
      </c>
      <c r="K66" s="68"/>
    </row>
    <row r="67" spans="1:11" x14ac:dyDescent="0.2">
      <c r="A67" s="108"/>
      <c r="B67" s="72" t="str">
        <f>IF(A67&lt;&gt;"",'EDC - PARAMETRAGE'!$A$3,"")</f>
        <v/>
      </c>
      <c r="C67" s="72" t="str">
        <f>IF(A67&lt;&gt;"",VLOOKUP(A67,'EDC - PRODUCTION'!$A$7:$E$49,5,FALSE),"")</f>
        <v/>
      </c>
      <c r="D67" s="72" t="str">
        <f>IF(A67&lt;&gt;"",VLOOKUP(A67,'EDC - PRODUCTION'!$A$7:$I$49,4,FALSE),"")</f>
        <v/>
      </c>
      <c r="E67" s="44"/>
      <c r="F67" s="45" t="str">
        <f t="shared" si="2"/>
        <v/>
      </c>
      <c r="G67" s="56" t="str">
        <f t="shared" si="0"/>
        <v/>
      </c>
      <c r="H67" s="73"/>
      <c r="I67" s="73"/>
      <c r="J67" s="112" t="str">
        <f t="shared" si="3"/>
        <v/>
      </c>
      <c r="K67" s="68"/>
    </row>
    <row r="68" spans="1:11" x14ac:dyDescent="0.2">
      <c r="A68" s="108"/>
      <c r="B68" s="72" t="str">
        <f>IF(A68&lt;&gt;"",'EDC - PARAMETRAGE'!$A$3,"")</f>
        <v/>
      </c>
      <c r="C68" s="72" t="str">
        <f>IF(A68&lt;&gt;"",VLOOKUP(A68,'EDC - PRODUCTION'!$A$7:$E$49,5,FALSE),"")</f>
        <v/>
      </c>
      <c r="D68" s="72" t="str">
        <f>IF(A68&lt;&gt;"",VLOOKUP(A68,'EDC - PRODUCTION'!$A$7:$I$49,4,FALSE),"")</f>
        <v/>
      </c>
      <c r="E68" s="44"/>
      <c r="F68" s="45" t="str">
        <f t="shared" ref="F68:F131" si="5">IF(A68&lt;&gt;"","DDE","")</f>
        <v/>
      </c>
      <c r="G68" s="56" t="str">
        <f t="shared" ref="G68:G131" si="6">IF(A68&lt;&gt;"",1,"")</f>
        <v/>
      </c>
      <c r="H68" s="73"/>
      <c r="I68" s="73"/>
      <c r="J68" s="112" t="str">
        <f t="shared" ref="J68:J131" si="7">IF(A68&lt;&gt;"",SUM(H68:I68),"")</f>
        <v/>
      </c>
      <c r="K68" s="68"/>
    </row>
    <row r="69" spans="1:11" x14ac:dyDescent="0.2">
      <c r="A69" s="108"/>
      <c r="B69" s="72" t="str">
        <f>IF(A69&lt;&gt;"",'EDC - PARAMETRAGE'!$A$3,"")</f>
        <v/>
      </c>
      <c r="C69" s="72" t="str">
        <f>IF(A69&lt;&gt;"",VLOOKUP(A69,'EDC - PRODUCTION'!$A$7:$E$49,5,FALSE),"")</f>
        <v/>
      </c>
      <c r="D69" s="72" t="str">
        <f>IF(A69&lt;&gt;"",VLOOKUP(A69,'EDC - PRODUCTION'!$A$7:$I$49,4,FALSE),"")</f>
        <v/>
      </c>
      <c r="E69" s="44"/>
      <c r="F69" s="45" t="str">
        <f t="shared" si="5"/>
        <v/>
      </c>
      <c r="G69" s="56" t="str">
        <f t="shared" si="6"/>
        <v/>
      </c>
      <c r="H69" s="73"/>
      <c r="I69" s="73"/>
      <c r="J69" s="112" t="str">
        <f t="shared" si="7"/>
        <v/>
      </c>
      <c r="K69" s="68"/>
    </row>
    <row r="70" spans="1:11" x14ac:dyDescent="0.2">
      <c r="A70" s="108"/>
      <c r="B70" s="72" t="str">
        <f>IF(A70&lt;&gt;"",'EDC - PARAMETRAGE'!$A$3,"")</f>
        <v/>
      </c>
      <c r="C70" s="72" t="str">
        <f>IF(A70&lt;&gt;"",VLOOKUP(A70,'EDC - PRODUCTION'!$A$7:$E$49,5,FALSE),"")</f>
        <v/>
      </c>
      <c r="D70" s="72" t="str">
        <f>IF(A70&lt;&gt;"",VLOOKUP(A70,'EDC - PRODUCTION'!$A$7:$I$49,4,FALSE),"")</f>
        <v/>
      </c>
      <c r="E70" s="44"/>
      <c r="F70" s="45" t="str">
        <f t="shared" si="5"/>
        <v/>
      </c>
      <c r="G70" s="56" t="str">
        <f t="shared" si="6"/>
        <v/>
      </c>
      <c r="H70" s="73"/>
      <c r="I70" s="73"/>
      <c r="J70" s="112" t="str">
        <f t="shared" si="7"/>
        <v/>
      </c>
      <c r="K70" s="68"/>
    </row>
    <row r="71" spans="1:11" x14ac:dyDescent="0.2">
      <c r="A71" s="108"/>
      <c r="B71" s="72" t="str">
        <f>IF(A71&lt;&gt;"",'EDC - PARAMETRAGE'!$A$3,"")</f>
        <v/>
      </c>
      <c r="C71" s="72" t="str">
        <f>IF(A71&lt;&gt;"",VLOOKUP(A71,'EDC - PRODUCTION'!$A$7:$E$49,5,FALSE),"")</f>
        <v/>
      </c>
      <c r="D71" s="72" t="str">
        <f>IF(A71&lt;&gt;"",VLOOKUP(A71,'EDC - PRODUCTION'!$A$7:$I$49,4,FALSE),"")</f>
        <v/>
      </c>
      <c r="E71" s="44"/>
      <c r="F71" s="45" t="str">
        <f t="shared" si="5"/>
        <v/>
      </c>
      <c r="G71" s="56" t="str">
        <f t="shared" si="6"/>
        <v/>
      </c>
      <c r="H71" s="73"/>
      <c r="I71" s="73"/>
      <c r="J71" s="112" t="str">
        <f t="shared" si="7"/>
        <v/>
      </c>
      <c r="K71" s="68"/>
    </row>
    <row r="72" spans="1:11" x14ac:dyDescent="0.2">
      <c r="A72" s="108"/>
      <c r="B72" s="72" t="str">
        <f>IF(A72&lt;&gt;"",'EDC - PARAMETRAGE'!$A$3,"")</f>
        <v/>
      </c>
      <c r="C72" s="72" t="str">
        <f>IF(A72&lt;&gt;"",VLOOKUP(A72,'EDC - PRODUCTION'!$A$7:$E$49,5,FALSE),"")</f>
        <v/>
      </c>
      <c r="D72" s="72" t="str">
        <f>IF(A72&lt;&gt;"",VLOOKUP(A72,'EDC - PRODUCTION'!$A$7:$I$49,4,FALSE),"")</f>
        <v/>
      </c>
      <c r="E72" s="44"/>
      <c r="F72" s="45" t="str">
        <f t="shared" si="5"/>
        <v/>
      </c>
      <c r="G72" s="56" t="str">
        <f t="shared" si="6"/>
        <v/>
      </c>
      <c r="H72" s="73"/>
      <c r="I72" s="73"/>
      <c r="J72" s="112" t="str">
        <f t="shared" si="7"/>
        <v/>
      </c>
      <c r="K72" s="68"/>
    </row>
    <row r="73" spans="1:11" x14ac:dyDescent="0.2">
      <c r="A73" s="108"/>
      <c r="B73" s="72" t="str">
        <f>IF(A73&lt;&gt;"",'EDC - PARAMETRAGE'!$A$3,"")</f>
        <v/>
      </c>
      <c r="C73" s="72" t="str">
        <f>IF(A73&lt;&gt;"",VLOOKUP(A73,'EDC - PRODUCTION'!$A$7:$E$49,5,FALSE),"")</f>
        <v/>
      </c>
      <c r="D73" s="72" t="str">
        <f>IF(A73&lt;&gt;"",VLOOKUP(A73,'EDC - PRODUCTION'!$A$7:$I$49,4,FALSE),"")</f>
        <v/>
      </c>
      <c r="E73" s="44"/>
      <c r="F73" s="45" t="str">
        <f t="shared" si="5"/>
        <v/>
      </c>
      <c r="G73" s="56" t="str">
        <f t="shared" si="6"/>
        <v/>
      </c>
      <c r="H73" s="73"/>
      <c r="I73" s="73"/>
      <c r="J73" s="112" t="str">
        <f t="shared" si="7"/>
        <v/>
      </c>
      <c r="K73" s="68"/>
    </row>
    <row r="74" spans="1:11" x14ac:dyDescent="0.2">
      <c r="A74" s="108"/>
      <c r="B74" s="72" t="str">
        <f>IF(A74&lt;&gt;"",'EDC - PARAMETRAGE'!$A$3,"")</f>
        <v/>
      </c>
      <c r="C74" s="72" t="str">
        <f>IF(A74&lt;&gt;"",VLOOKUP(A74,'EDC - PRODUCTION'!$A$7:$E$49,5,FALSE),"")</f>
        <v/>
      </c>
      <c r="D74" s="72" t="str">
        <f>IF(A74&lt;&gt;"",VLOOKUP(A74,'EDC - PRODUCTION'!$A$7:$I$49,4,FALSE),"")</f>
        <v/>
      </c>
      <c r="E74" s="44"/>
      <c r="F74" s="45" t="str">
        <f t="shared" si="5"/>
        <v/>
      </c>
      <c r="G74" s="56" t="str">
        <f t="shared" si="6"/>
        <v/>
      </c>
      <c r="H74" s="73"/>
      <c r="I74" s="73"/>
      <c r="J74" s="112" t="str">
        <f t="shared" si="7"/>
        <v/>
      </c>
      <c r="K74" s="68"/>
    </row>
    <row r="75" spans="1:11" x14ac:dyDescent="0.2">
      <c r="A75" s="108"/>
      <c r="B75" s="72" t="str">
        <f>IF(A75&lt;&gt;"",'EDC - PARAMETRAGE'!$A$3,"")</f>
        <v/>
      </c>
      <c r="C75" s="72" t="str">
        <f>IF(A75&lt;&gt;"",VLOOKUP(A75,'EDC - PRODUCTION'!$A$7:$E$49,5,FALSE),"")</f>
        <v/>
      </c>
      <c r="D75" s="72" t="str">
        <f>IF(A75&lt;&gt;"",VLOOKUP(A75,'EDC - PRODUCTION'!$A$7:$I$49,4,FALSE),"")</f>
        <v/>
      </c>
      <c r="E75" s="44"/>
      <c r="F75" s="45" t="str">
        <f t="shared" si="5"/>
        <v/>
      </c>
      <c r="G75" s="56" t="str">
        <f t="shared" si="6"/>
        <v/>
      </c>
      <c r="H75" s="73"/>
      <c r="I75" s="73"/>
      <c r="J75" s="112" t="str">
        <f t="shared" si="7"/>
        <v/>
      </c>
      <c r="K75" s="68"/>
    </row>
    <row r="76" spans="1:11" x14ac:dyDescent="0.2">
      <c r="A76" s="108"/>
      <c r="B76" s="72" t="str">
        <f>IF(A76&lt;&gt;"",'EDC - PARAMETRAGE'!$A$3,"")</f>
        <v/>
      </c>
      <c r="C76" s="72" t="str">
        <f>IF(A76&lt;&gt;"",VLOOKUP(A76,'EDC - PRODUCTION'!$A$7:$E$49,5,FALSE),"")</f>
        <v/>
      </c>
      <c r="D76" s="72" t="str">
        <f>IF(A76&lt;&gt;"",VLOOKUP(A76,'EDC - PRODUCTION'!$A$7:$I$49,4,FALSE),"")</f>
        <v/>
      </c>
      <c r="E76" s="44"/>
      <c r="F76" s="45" t="str">
        <f t="shared" si="5"/>
        <v/>
      </c>
      <c r="G76" s="56" t="str">
        <f t="shared" si="6"/>
        <v/>
      </c>
      <c r="H76" s="73"/>
      <c r="I76" s="73"/>
      <c r="J76" s="112" t="str">
        <f t="shared" si="7"/>
        <v/>
      </c>
      <c r="K76" s="68"/>
    </row>
    <row r="77" spans="1:11" x14ac:dyDescent="0.2">
      <c r="A77" s="108"/>
      <c r="B77" s="72" t="str">
        <f>IF(A77&lt;&gt;"",'EDC - PARAMETRAGE'!$A$3,"")</f>
        <v/>
      </c>
      <c r="C77" s="72" t="str">
        <f>IF(A77&lt;&gt;"",VLOOKUP(A77,'EDC - PRODUCTION'!$A$7:$E$49,5,FALSE),"")</f>
        <v/>
      </c>
      <c r="D77" s="72" t="str">
        <f>IF(A77&lt;&gt;"",VLOOKUP(A77,'EDC - PRODUCTION'!$A$7:$I$49,4,FALSE),"")</f>
        <v/>
      </c>
      <c r="E77" s="44"/>
      <c r="F77" s="45" t="str">
        <f t="shared" si="5"/>
        <v/>
      </c>
      <c r="G77" s="56" t="str">
        <f t="shared" si="6"/>
        <v/>
      </c>
      <c r="H77" s="73"/>
      <c r="I77" s="73"/>
      <c r="J77" s="112" t="str">
        <f t="shared" si="7"/>
        <v/>
      </c>
      <c r="K77" s="68"/>
    </row>
    <row r="78" spans="1:11" x14ac:dyDescent="0.2">
      <c r="A78" s="108"/>
      <c r="B78" s="72" t="str">
        <f>IF(A78&lt;&gt;"",'EDC - PARAMETRAGE'!$A$3,"")</f>
        <v/>
      </c>
      <c r="C78" s="72" t="str">
        <f>IF(A78&lt;&gt;"",VLOOKUP(A78,'EDC - PRODUCTION'!$A$7:$E$49,5,FALSE),"")</f>
        <v/>
      </c>
      <c r="D78" s="72" t="str">
        <f>IF(A78&lt;&gt;"",VLOOKUP(A78,'EDC - PRODUCTION'!$A$7:$I$49,4,FALSE),"")</f>
        <v/>
      </c>
      <c r="E78" s="44"/>
      <c r="F78" s="45" t="str">
        <f t="shared" si="5"/>
        <v/>
      </c>
      <c r="G78" s="56" t="str">
        <f t="shared" si="6"/>
        <v/>
      </c>
      <c r="H78" s="73"/>
      <c r="I78" s="73"/>
      <c r="J78" s="112" t="str">
        <f t="shared" si="7"/>
        <v/>
      </c>
      <c r="K78" s="68"/>
    </row>
    <row r="79" spans="1:11" x14ac:dyDescent="0.2">
      <c r="A79" s="108"/>
      <c r="B79" s="72" t="str">
        <f>IF(A79&lt;&gt;"",'EDC - PARAMETRAGE'!$A$3,"")</f>
        <v/>
      </c>
      <c r="C79" s="72" t="str">
        <f>IF(A79&lt;&gt;"",VLOOKUP(A79,'EDC - PRODUCTION'!$A$7:$E$49,5,FALSE),"")</f>
        <v/>
      </c>
      <c r="D79" s="72" t="str">
        <f>IF(A79&lt;&gt;"",VLOOKUP(A79,'EDC - PRODUCTION'!$A$7:$I$49,4,FALSE),"")</f>
        <v/>
      </c>
      <c r="E79" s="44"/>
      <c r="F79" s="45" t="str">
        <f t="shared" si="5"/>
        <v/>
      </c>
      <c r="G79" s="56" t="str">
        <f t="shared" si="6"/>
        <v/>
      </c>
      <c r="H79" s="73"/>
      <c r="I79" s="73"/>
      <c r="J79" s="112" t="str">
        <f t="shared" si="7"/>
        <v/>
      </c>
      <c r="K79" s="68"/>
    </row>
    <row r="80" spans="1:11" x14ac:dyDescent="0.2">
      <c r="A80" s="108"/>
      <c r="B80" s="72" t="str">
        <f>IF(A80&lt;&gt;"",'EDC - PARAMETRAGE'!$A$3,"")</f>
        <v/>
      </c>
      <c r="C80" s="72" t="str">
        <f>IF(A80&lt;&gt;"",VLOOKUP(A80,'EDC - PRODUCTION'!$A$7:$E$49,5,FALSE),"")</f>
        <v/>
      </c>
      <c r="D80" s="72" t="str">
        <f>IF(A80&lt;&gt;"",VLOOKUP(A80,'EDC - PRODUCTION'!$A$7:$I$49,4,FALSE),"")</f>
        <v/>
      </c>
      <c r="E80" s="44"/>
      <c r="F80" s="45" t="str">
        <f t="shared" si="5"/>
        <v/>
      </c>
      <c r="G80" s="56" t="str">
        <f t="shared" si="6"/>
        <v/>
      </c>
      <c r="H80" s="73"/>
      <c r="I80" s="73"/>
      <c r="J80" s="112" t="str">
        <f t="shared" si="7"/>
        <v/>
      </c>
      <c r="K80" s="68"/>
    </row>
    <row r="81" spans="1:11" x14ac:dyDescent="0.2">
      <c r="A81" s="108"/>
      <c r="B81" s="72" t="str">
        <f>IF(A81&lt;&gt;"",'EDC - PARAMETRAGE'!$A$3,"")</f>
        <v/>
      </c>
      <c r="C81" s="72" t="str">
        <f>IF(A81&lt;&gt;"",VLOOKUP(A81,'EDC - PRODUCTION'!$A$7:$E$49,5,FALSE),"")</f>
        <v/>
      </c>
      <c r="D81" s="72" t="str">
        <f>IF(A81&lt;&gt;"",VLOOKUP(A81,'EDC - PRODUCTION'!$A$7:$I$49,4,FALSE),"")</f>
        <v/>
      </c>
      <c r="E81" s="44"/>
      <c r="F81" s="45" t="str">
        <f t="shared" si="5"/>
        <v/>
      </c>
      <c r="G81" s="56" t="str">
        <f t="shared" si="6"/>
        <v/>
      </c>
      <c r="H81" s="73"/>
      <c r="I81" s="73"/>
      <c r="J81" s="112" t="str">
        <f t="shared" si="7"/>
        <v/>
      </c>
      <c r="K81" s="68"/>
    </row>
    <row r="82" spans="1:11" x14ac:dyDescent="0.2">
      <c r="A82" s="108"/>
      <c r="B82" s="72" t="str">
        <f>IF(A82&lt;&gt;"",'EDC - PARAMETRAGE'!$A$3,"")</f>
        <v/>
      </c>
      <c r="C82" s="72" t="str">
        <f>IF(A82&lt;&gt;"",VLOOKUP(A82,'EDC - PRODUCTION'!$A$7:$E$49,5,FALSE),"")</f>
        <v/>
      </c>
      <c r="D82" s="72" t="str">
        <f>IF(A82&lt;&gt;"",VLOOKUP(A82,'EDC - PRODUCTION'!$A$7:$I$49,4,FALSE),"")</f>
        <v/>
      </c>
      <c r="E82" s="44"/>
      <c r="F82" s="45" t="str">
        <f t="shared" si="5"/>
        <v/>
      </c>
      <c r="G82" s="56" t="str">
        <f t="shared" si="6"/>
        <v/>
      </c>
      <c r="H82" s="73"/>
      <c r="I82" s="73"/>
      <c r="J82" s="112" t="str">
        <f t="shared" si="7"/>
        <v/>
      </c>
      <c r="K82" s="68"/>
    </row>
    <row r="83" spans="1:11" x14ac:dyDescent="0.2">
      <c r="A83" s="108"/>
      <c r="B83" s="72" t="str">
        <f>IF(A83&lt;&gt;"",'EDC - PARAMETRAGE'!$A$3,"")</f>
        <v/>
      </c>
      <c r="C83" s="72" t="str">
        <f>IF(A83&lt;&gt;"",VLOOKUP(A83,'EDC - PRODUCTION'!$A$7:$E$49,5,FALSE),"")</f>
        <v/>
      </c>
      <c r="D83" s="72" t="str">
        <f>IF(A83&lt;&gt;"",VLOOKUP(A83,'EDC - PRODUCTION'!$A$7:$I$49,4,FALSE),"")</f>
        <v/>
      </c>
      <c r="E83" s="44"/>
      <c r="F83" s="45" t="str">
        <f t="shared" si="5"/>
        <v/>
      </c>
      <c r="G83" s="56" t="str">
        <f t="shared" si="6"/>
        <v/>
      </c>
      <c r="H83" s="73"/>
      <c r="I83" s="73"/>
      <c r="J83" s="112" t="str">
        <f t="shared" si="7"/>
        <v/>
      </c>
      <c r="K83" s="68"/>
    </row>
    <row r="84" spans="1:11" x14ac:dyDescent="0.2">
      <c r="A84" s="108"/>
      <c r="B84" s="72" t="str">
        <f>IF(A84&lt;&gt;"",'EDC - PARAMETRAGE'!$A$3,"")</f>
        <v/>
      </c>
      <c r="C84" s="72" t="str">
        <f>IF(A84&lt;&gt;"",VLOOKUP(A84,'EDC - PRODUCTION'!$A$7:$E$49,5,FALSE),"")</f>
        <v/>
      </c>
      <c r="D84" s="72" t="str">
        <f>IF(A84&lt;&gt;"",VLOOKUP(A84,'EDC - PRODUCTION'!$A$7:$I$49,4,FALSE),"")</f>
        <v/>
      </c>
      <c r="E84" s="44"/>
      <c r="F84" s="45" t="str">
        <f t="shared" si="5"/>
        <v/>
      </c>
      <c r="G84" s="56" t="str">
        <f t="shared" si="6"/>
        <v/>
      </c>
      <c r="H84" s="73"/>
      <c r="I84" s="73"/>
      <c r="J84" s="112" t="str">
        <f t="shared" si="7"/>
        <v/>
      </c>
      <c r="K84" s="68"/>
    </row>
    <row r="85" spans="1:11" x14ac:dyDescent="0.2">
      <c r="A85" s="108"/>
      <c r="B85" s="72" t="str">
        <f>IF(A85&lt;&gt;"",'EDC - PARAMETRAGE'!$A$3,"")</f>
        <v/>
      </c>
      <c r="C85" s="72" t="str">
        <f>IF(A85&lt;&gt;"",VLOOKUP(A85,'EDC - PRODUCTION'!$A$7:$E$49,5,FALSE),"")</f>
        <v/>
      </c>
      <c r="D85" s="72" t="str">
        <f>IF(A85&lt;&gt;"",VLOOKUP(A85,'EDC - PRODUCTION'!$A$7:$I$49,4,FALSE),"")</f>
        <v/>
      </c>
      <c r="E85" s="44"/>
      <c r="F85" s="45" t="str">
        <f t="shared" si="5"/>
        <v/>
      </c>
      <c r="G85" s="56" t="str">
        <f t="shared" si="6"/>
        <v/>
      </c>
      <c r="H85" s="73"/>
      <c r="I85" s="73"/>
      <c r="J85" s="112" t="str">
        <f t="shared" si="7"/>
        <v/>
      </c>
      <c r="K85" s="68"/>
    </row>
    <row r="86" spans="1:11" x14ac:dyDescent="0.2">
      <c r="A86" s="108"/>
      <c r="B86" s="72" t="str">
        <f>IF(A86&lt;&gt;"",'EDC - PARAMETRAGE'!$A$3,"")</f>
        <v/>
      </c>
      <c r="C86" s="72" t="str">
        <f>IF(A86&lt;&gt;"",VLOOKUP(A86,'EDC - PRODUCTION'!$A$7:$E$49,5,FALSE),"")</f>
        <v/>
      </c>
      <c r="D86" s="72" t="str">
        <f>IF(A86&lt;&gt;"",VLOOKUP(A86,'EDC - PRODUCTION'!$A$7:$I$49,4,FALSE),"")</f>
        <v/>
      </c>
      <c r="E86" s="44"/>
      <c r="F86" s="45" t="str">
        <f t="shared" si="5"/>
        <v/>
      </c>
      <c r="G86" s="56" t="str">
        <f t="shared" si="6"/>
        <v/>
      </c>
      <c r="H86" s="73"/>
      <c r="I86" s="73"/>
      <c r="J86" s="112" t="str">
        <f t="shared" si="7"/>
        <v/>
      </c>
      <c r="K86" s="68"/>
    </row>
    <row r="87" spans="1:11" x14ac:dyDescent="0.2">
      <c r="A87" s="108"/>
      <c r="B87" s="72" t="str">
        <f>IF(A87&lt;&gt;"",'EDC - PARAMETRAGE'!$A$3,"")</f>
        <v/>
      </c>
      <c r="C87" s="72" t="str">
        <f>IF(A87&lt;&gt;"",VLOOKUP(A87,'EDC - PRODUCTION'!$A$7:$E$49,5,FALSE),"")</f>
        <v/>
      </c>
      <c r="D87" s="72" t="str">
        <f>IF(A87&lt;&gt;"",VLOOKUP(A87,'EDC - PRODUCTION'!$A$7:$I$49,4,FALSE),"")</f>
        <v/>
      </c>
      <c r="E87" s="44"/>
      <c r="F87" s="45" t="str">
        <f t="shared" si="5"/>
        <v/>
      </c>
      <c r="G87" s="56" t="str">
        <f t="shared" si="6"/>
        <v/>
      </c>
      <c r="H87" s="73"/>
      <c r="I87" s="73"/>
      <c r="J87" s="112" t="str">
        <f t="shared" si="7"/>
        <v/>
      </c>
      <c r="K87" s="68"/>
    </row>
    <row r="88" spans="1:11" x14ac:dyDescent="0.2">
      <c r="A88" s="108"/>
      <c r="B88" s="72" t="str">
        <f>IF(A88&lt;&gt;"",'EDC - PARAMETRAGE'!$A$3,"")</f>
        <v/>
      </c>
      <c r="C88" s="72" t="str">
        <f>IF(A88&lt;&gt;"",VLOOKUP(A88,'EDC - PRODUCTION'!$A$7:$E$49,5,FALSE),"")</f>
        <v/>
      </c>
      <c r="D88" s="72" t="str">
        <f>IF(A88&lt;&gt;"",VLOOKUP(A88,'EDC - PRODUCTION'!$A$7:$I$49,4,FALSE),"")</f>
        <v/>
      </c>
      <c r="E88" s="44"/>
      <c r="F88" s="45" t="str">
        <f t="shared" si="5"/>
        <v/>
      </c>
      <c r="G88" s="56" t="str">
        <f t="shared" si="6"/>
        <v/>
      </c>
      <c r="H88" s="73"/>
      <c r="I88" s="73"/>
      <c r="J88" s="112" t="str">
        <f t="shared" si="7"/>
        <v/>
      </c>
      <c r="K88" s="68"/>
    </row>
    <row r="89" spans="1:11" x14ac:dyDescent="0.2">
      <c r="A89" s="108"/>
      <c r="B89" s="72" t="str">
        <f>IF(A89&lt;&gt;"",'EDC - PARAMETRAGE'!$A$3,"")</f>
        <v/>
      </c>
      <c r="C89" s="72" t="str">
        <f>IF(A89&lt;&gt;"",VLOOKUP(A89,'EDC - PRODUCTION'!$A$7:$E$49,5,FALSE),"")</f>
        <v/>
      </c>
      <c r="D89" s="72" t="str">
        <f>IF(A89&lt;&gt;"",VLOOKUP(A89,'EDC - PRODUCTION'!$A$7:$I$49,4,FALSE),"")</f>
        <v/>
      </c>
      <c r="E89" s="44"/>
      <c r="F89" s="45" t="str">
        <f t="shared" si="5"/>
        <v/>
      </c>
      <c r="G89" s="56" t="str">
        <f t="shared" si="6"/>
        <v/>
      </c>
      <c r="H89" s="73"/>
      <c r="I89" s="73"/>
      <c r="J89" s="112" t="str">
        <f t="shared" si="7"/>
        <v/>
      </c>
      <c r="K89" s="68"/>
    </row>
    <row r="90" spans="1:11" x14ac:dyDescent="0.2">
      <c r="A90" s="108"/>
      <c r="B90" s="72" t="str">
        <f>IF(A90&lt;&gt;"",'EDC - PARAMETRAGE'!$A$3,"")</f>
        <v/>
      </c>
      <c r="C90" s="72" t="str">
        <f>IF(A90&lt;&gt;"",VLOOKUP(A90,'EDC - PRODUCTION'!$A$7:$E$49,5,FALSE),"")</f>
        <v/>
      </c>
      <c r="D90" s="72" t="str">
        <f>IF(A90&lt;&gt;"",VLOOKUP(A90,'EDC - PRODUCTION'!$A$7:$I$49,4,FALSE),"")</f>
        <v/>
      </c>
      <c r="E90" s="44"/>
      <c r="F90" s="45" t="str">
        <f t="shared" si="5"/>
        <v/>
      </c>
      <c r="G90" s="56" t="str">
        <f t="shared" si="6"/>
        <v/>
      </c>
      <c r="H90" s="73"/>
      <c r="I90" s="73"/>
      <c r="J90" s="112" t="str">
        <f t="shared" si="7"/>
        <v/>
      </c>
      <c r="K90" s="68"/>
    </row>
    <row r="91" spans="1:11" x14ac:dyDescent="0.2">
      <c r="A91" s="108"/>
      <c r="B91" s="72" t="str">
        <f>IF(A91&lt;&gt;"",'EDC - PARAMETRAGE'!$A$3,"")</f>
        <v/>
      </c>
      <c r="C91" s="72" t="str">
        <f>IF(A91&lt;&gt;"",VLOOKUP(A91,'EDC - PRODUCTION'!$A$7:$E$49,5,FALSE),"")</f>
        <v/>
      </c>
      <c r="D91" s="72" t="str">
        <f>IF(A91&lt;&gt;"",VLOOKUP(A91,'EDC - PRODUCTION'!$A$7:$I$49,4,FALSE),"")</f>
        <v/>
      </c>
      <c r="E91" s="44"/>
      <c r="F91" s="45" t="str">
        <f t="shared" si="5"/>
        <v/>
      </c>
      <c r="G91" s="56" t="str">
        <f t="shared" si="6"/>
        <v/>
      </c>
      <c r="H91" s="73"/>
      <c r="I91" s="73"/>
      <c r="J91" s="112" t="str">
        <f t="shared" si="7"/>
        <v/>
      </c>
      <c r="K91" s="68"/>
    </row>
    <row r="92" spans="1:11" x14ac:dyDescent="0.2">
      <c r="A92" s="108"/>
      <c r="B92" s="72" t="str">
        <f>IF(A92&lt;&gt;"",'EDC - PARAMETRAGE'!$A$3,"")</f>
        <v/>
      </c>
      <c r="C92" s="72" t="str">
        <f>IF(A92&lt;&gt;"",VLOOKUP(A92,'EDC - PRODUCTION'!$A$7:$E$49,5,FALSE),"")</f>
        <v/>
      </c>
      <c r="D92" s="72" t="str">
        <f>IF(A92&lt;&gt;"",VLOOKUP(A92,'EDC - PRODUCTION'!$A$7:$I$49,4,FALSE),"")</f>
        <v/>
      </c>
      <c r="E92" s="44"/>
      <c r="F92" s="45" t="str">
        <f t="shared" si="5"/>
        <v/>
      </c>
      <c r="G92" s="56" t="str">
        <f t="shared" si="6"/>
        <v/>
      </c>
      <c r="H92" s="73"/>
      <c r="I92" s="73"/>
      <c r="J92" s="112" t="str">
        <f t="shared" si="7"/>
        <v/>
      </c>
      <c r="K92" s="68"/>
    </row>
    <row r="93" spans="1:11" x14ac:dyDescent="0.2">
      <c r="A93" s="108"/>
      <c r="B93" s="72" t="str">
        <f>IF(A93&lt;&gt;"",'EDC - PARAMETRAGE'!$A$3,"")</f>
        <v/>
      </c>
      <c r="C93" s="72" t="str">
        <f>IF(A93&lt;&gt;"",VLOOKUP(A93,'EDC - PRODUCTION'!$A$7:$E$49,5,FALSE),"")</f>
        <v/>
      </c>
      <c r="D93" s="72" t="str">
        <f>IF(A93&lt;&gt;"",VLOOKUP(A93,'EDC - PRODUCTION'!$A$7:$I$49,4,FALSE),"")</f>
        <v/>
      </c>
      <c r="E93" s="44"/>
      <c r="F93" s="45" t="str">
        <f t="shared" si="5"/>
        <v/>
      </c>
      <c r="G93" s="56" t="str">
        <f t="shared" si="6"/>
        <v/>
      </c>
      <c r="H93" s="73"/>
      <c r="I93" s="73"/>
      <c r="J93" s="112" t="str">
        <f t="shared" si="7"/>
        <v/>
      </c>
      <c r="K93" s="68"/>
    </row>
    <row r="94" spans="1:11" x14ac:dyDescent="0.2">
      <c r="A94" s="108"/>
      <c r="B94" s="72" t="str">
        <f>IF(A94&lt;&gt;"",'EDC - PARAMETRAGE'!$A$3,"")</f>
        <v/>
      </c>
      <c r="C94" s="72" t="str">
        <f>IF(A94&lt;&gt;"",VLOOKUP(A94,'EDC - PRODUCTION'!$A$7:$E$49,5,FALSE),"")</f>
        <v/>
      </c>
      <c r="D94" s="72" t="str">
        <f>IF(A94&lt;&gt;"",VLOOKUP(A94,'EDC - PRODUCTION'!$A$7:$I$49,4,FALSE),"")</f>
        <v/>
      </c>
      <c r="E94" s="44"/>
      <c r="F94" s="45" t="str">
        <f t="shared" si="5"/>
        <v/>
      </c>
      <c r="G94" s="56" t="str">
        <f t="shared" si="6"/>
        <v/>
      </c>
      <c r="H94" s="73"/>
      <c r="I94" s="73"/>
      <c r="J94" s="112" t="str">
        <f t="shared" si="7"/>
        <v/>
      </c>
      <c r="K94" s="68"/>
    </row>
    <row r="95" spans="1:11" x14ac:dyDescent="0.2">
      <c r="A95" s="108"/>
      <c r="B95" s="72" t="str">
        <f>IF(A95&lt;&gt;"",'EDC - PARAMETRAGE'!$A$3,"")</f>
        <v/>
      </c>
      <c r="C95" s="72" t="str">
        <f>IF(A95&lt;&gt;"",VLOOKUP(A95,'EDC - PRODUCTION'!$A$7:$E$49,5,FALSE),"")</f>
        <v/>
      </c>
      <c r="D95" s="72" t="str">
        <f>IF(A95&lt;&gt;"",VLOOKUP(A95,'EDC - PRODUCTION'!$A$7:$I$49,4,FALSE),"")</f>
        <v/>
      </c>
      <c r="E95" s="44"/>
      <c r="F95" s="45" t="str">
        <f t="shared" si="5"/>
        <v/>
      </c>
      <c r="G95" s="56" t="str">
        <f t="shared" si="6"/>
        <v/>
      </c>
      <c r="H95" s="73"/>
      <c r="I95" s="73"/>
      <c r="J95" s="112" t="str">
        <f t="shared" si="7"/>
        <v/>
      </c>
      <c r="K95" s="68"/>
    </row>
    <row r="96" spans="1:11" x14ac:dyDescent="0.2">
      <c r="A96" s="108"/>
      <c r="B96" s="72" t="str">
        <f>IF(A96&lt;&gt;"",'EDC - PARAMETRAGE'!$A$3,"")</f>
        <v/>
      </c>
      <c r="C96" s="72" t="str">
        <f>IF(A96&lt;&gt;"",VLOOKUP(A96,'EDC - PRODUCTION'!$A$7:$E$49,5,FALSE),"")</f>
        <v/>
      </c>
      <c r="D96" s="72" t="str">
        <f>IF(A96&lt;&gt;"",VLOOKUP(A96,'EDC - PRODUCTION'!$A$7:$I$49,4,FALSE),"")</f>
        <v/>
      </c>
      <c r="E96" s="44"/>
      <c r="F96" s="45" t="str">
        <f t="shared" si="5"/>
        <v/>
      </c>
      <c r="G96" s="56" t="str">
        <f t="shared" si="6"/>
        <v/>
      </c>
      <c r="H96" s="73"/>
      <c r="I96" s="73"/>
      <c r="J96" s="112" t="str">
        <f t="shared" si="7"/>
        <v/>
      </c>
      <c r="K96" s="68"/>
    </row>
    <row r="97" spans="1:11" x14ac:dyDescent="0.2">
      <c r="A97" s="108"/>
      <c r="B97" s="72" t="str">
        <f>IF(A97&lt;&gt;"",'EDC - PARAMETRAGE'!$A$3,"")</f>
        <v/>
      </c>
      <c r="C97" s="72" t="str">
        <f>IF(A97&lt;&gt;"",VLOOKUP(A97,'EDC - PRODUCTION'!$A$7:$E$49,5,FALSE),"")</f>
        <v/>
      </c>
      <c r="D97" s="72" t="str">
        <f>IF(A97&lt;&gt;"",VLOOKUP(A97,'EDC - PRODUCTION'!$A$7:$I$49,4,FALSE),"")</f>
        <v/>
      </c>
      <c r="E97" s="44"/>
      <c r="F97" s="45" t="str">
        <f t="shared" si="5"/>
        <v/>
      </c>
      <c r="G97" s="56" t="str">
        <f t="shared" si="6"/>
        <v/>
      </c>
      <c r="H97" s="73"/>
      <c r="I97" s="73"/>
      <c r="J97" s="112" t="str">
        <f t="shared" si="7"/>
        <v/>
      </c>
      <c r="K97" s="68"/>
    </row>
    <row r="98" spans="1:11" x14ac:dyDescent="0.2">
      <c r="A98" s="108"/>
      <c r="B98" s="72" t="str">
        <f>IF(A98&lt;&gt;"",'EDC - PARAMETRAGE'!$A$3,"")</f>
        <v/>
      </c>
      <c r="C98" s="72" t="str">
        <f>IF(A98&lt;&gt;"",VLOOKUP(A98,'EDC - PRODUCTION'!$A$7:$E$49,5,FALSE),"")</f>
        <v/>
      </c>
      <c r="D98" s="72" t="str">
        <f>IF(A98&lt;&gt;"",VLOOKUP(A98,'EDC - PRODUCTION'!$A$7:$I$49,4,FALSE),"")</f>
        <v/>
      </c>
      <c r="E98" s="44"/>
      <c r="F98" s="45" t="str">
        <f t="shared" si="5"/>
        <v/>
      </c>
      <c r="G98" s="56" t="str">
        <f t="shared" si="6"/>
        <v/>
      </c>
      <c r="H98" s="73"/>
      <c r="I98" s="73"/>
      <c r="J98" s="112" t="str">
        <f t="shared" si="7"/>
        <v/>
      </c>
      <c r="K98" s="68"/>
    </row>
    <row r="99" spans="1:11" x14ac:dyDescent="0.2">
      <c r="A99" s="108"/>
      <c r="B99" s="72" t="str">
        <f>IF(A99&lt;&gt;"",'EDC - PARAMETRAGE'!$A$3,"")</f>
        <v/>
      </c>
      <c r="C99" s="72" t="str">
        <f>IF(A99&lt;&gt;"",VLOOKUP(A99,'EDC - PRODUCTION'!$A$7:$E$49,5,FALSE),"")</f>
        <v/>
      </c>
      <c r="D99" s="72" t="str">
        <f>IF(A99&lt;&gt;"",VLOOKUP(A99,'EDC - PRODUCTION'!$A$7:$I$49,4,FALSE),"")</f>
        <v/>
      </c>
      <c r="E99" s="44"/>
      <c r="F99" s="45" t="str">
        <f t="shared" si="5"/>
        <v/>
      </c>
      <c r="G99" s="56" t="str">
        <f t="shared" si="6"/>
        <v/>
      </c>
      <c r="H99" s="73"/>
      <c r="I99" s="73"/>
      <c r="J99" s="112" t="str">
        <f t="shared" si="7"/>
        <v/>
      </c>
      <c r="K99" s="68"/>
    </row>
    <row r="100" spans="1:11" x14ac:dyDescent="0.2">
      <c r="A100" s="108"/>
      <c r="B100" s="72" t="str">
        <f>IF(A100&lt;&gt;"",'EDC - PARAMETRAGE'!$A$3,"")</f>
        <v/>
      </c>
      <c r="C100" s="72" t="str">
        <f>IF(A100&lt;&gt;"",VLOOKUP(A100,'EDC - PRODUCTION'!$A$7:$E$49,5,FALSE),"")</f>
        <v/>
      </c>
      <c r="D100" s="72" t="str">
        <f>IF(A100&lt;&gt;"",VLOOKUP(A100,'EDC - PRODUCTION'!$A$7:$I$49,4,FALSE),"")</f>
        <v/>
      </c>
      <c r="E100" s="44"/>
      <c r="F100" s="45" t="str">
        <f t="shared" si="5"/>
        <v/>
      </c>
      <c r="G100" s="56" t="str">
        <f t="shared" si="6"/>
        <v/>
      </c>
      <c r="H100" s="73"/>
      <c r="I100" s="73"/>
      <c r="J100" s="112" t="str">
        <f t="shared" si="7"/>
        <v/>
      </c>
      <c r="K100" s="68"/>
    </row>
    <row r="101" spans="1:11" x14ac:dyDescent="0.2">
      <c r="A101" s="108"/>
      <c r="B101" s="72" t="str">
        <f>IF(A101&lt;&gt;"",'EDC - PARAMETRAGE'!$A$3,"")</f>
        <v/>
      </c>
      <c r="C101" s="72" t="str">
        <f>IF(A101&lt;&gt;"",VLOOKUP(A101,'EDC - PRODUCTION'!$A$7:$E$49,5,FALSE),"")</f>
        <v/>
      </c>
      <c r="D101" s="72" t="str">
        <f>IF(A101&lt;&gt;"",VLOOKUP(A101,'EDC - PRODUCTION'!$A$7:$I$49,4,FALSE),"")</f>
        <v/>
      </c>
      <c r="E101" s="44"/>
      <c r="F101" s="45" t="str">
        <f t="shared" si="5"/>
        <v/>
      </c>
      <c r="G101" s="56" t="str">
        <f t="shared" si="6"/>
        <v/>
      </c>
      <c r="H101" s="73"/>
      <c r="I101" s="73"/>
      <c r="J101" s="112" t="str">
        <f t="shared" si="7"/>
        <v/>
      </c>
      <c r="K101" s="68"/>
    </row>
    <row r="102" spans="1:11" x14ac:dyDescent="0.2">
      <c r="A102" s="108"/>
      <c r="B102" s="72" t="str">
        <f>IF(A102&lt;&gt;"",'EDC - PARAMETRAGE'!$A$3,"")</f>
        <v/>
      </c>
      <c r="C102" s="72" t="str">
        <f>IF(A102&lt;&gt;"",VLOOKUP(A102,'EDC - PRODUCTION'!$A$7:$E$49,5,FALSE),"")</f>
        <v/>
      </c>
      <c r="D102" s="72" t="str">
        <f>IF(A102&lt;&gt;"",VLOOKUP(A102,'EDC - PRODUCTION'!$A$7:$I$49,4,FALSE),"")</f>
        <v/>
      </c>
      <c r="E102" s="44"/>
      <c r="F102" s="45" t="str">
        <f t="shared" si="5"/>
        <v/>
      </c>
      <c r="G102" s="56" t="str">
        <f t="shared" si="6"/>
        <v/>
      </c>
      <c r="H102" s="73"/>
      <c r="I102" s="73"/>
      <c r="J102" s="112" t="str">
        <f t="shared" si="7"/>
        <v/>
      </c>
      <c r="K102" s="68"/>
    </row>
    <row r="103" spans="1:11" x14ac:dyDescent="0.2">
      <c r="A103" s="108"/>
      <c r="B103" s="72" t="str">
        <f>IF(A103&lt;&gt;"",'EDC - PARAMETRAGE'!$A$3,"")</f>
        <v/>
      </c>
      <c r="C103" s="72" t="str">
        <f>IF(A103&lt;&gt;"",VLOOKUP(A103,'EDC - PRODUCTION'!$A$7:$E$49,5,FALSE),"")</f>
        <v/>
      </c>
      <c r="D103" s="72" t="str">
        <f>IF(A103&lt;&gt;"",VLOOKUP(A103,'EDC - PRODUCTION'!$A$7:$I$49,4,FALSE),"")</f>
        <v/>
      </c>
      <c r="E103" s="44"/>
      <c r="F103" s="45" t="str">
        <f t="shared" si="5"/>
        <v/>
      </c>
      <c r="G103" s="56" t="str">
        <f t="shared" si="6"/>
        <v/>
      </c>
      <c r="H103" s="73"/>
      <c r="I103" s="73"/>
      <c r="J103" s="112" t="str">
        <f t="shared" si="7"/>
        <v/>
      </c>
      <c r="K103" s="68"/>
    </row>
    <row r="104" spans="1:11" x14ac:dyDescent="0.2">
      <c r="A104" s="108"/>
      <c r="B104" s="72" t="str">
        <f>IF(A104&lt;&gt;"",'EDC - PARAMETRAGE'!$A$3,"")</f>
        <v/>
      </c>
      <c r="C104" s="72" t="str">
        <f>IF(A104&lt;&gt;"",VLOOKUP(A104,'EDC - PRODUCTION'!$A$7:$E$49,5,FALSE),"")</f>
        <v/>
      </c>
      <c r="D104" s="72" t="str">
        <f>IF(A104&lt;&gt;"",VLOOKUP(A104,'EDC - PRODUCTION'!$A$7:$I$49,4,FALSE),"")</f>
        <v/>
      </c>
      <c r="E104" s="44"/>
      <c r="F104" s="45" t="str">
        <f t="shared" si="5"/>
        <v/>
      </c>
      <c r="G104" s="56" t="str">
        <f t="shared" si="6"/>
        <v/>
      </c>
      <c r="H104" s="73"/>
      <c r="I104" s="73"/>
      <c r="J104" s="112" t="str">
        <f t="shared" si="7"/>
        <v/>
      </c>
      <c r="K104" s="68"/>
    </row>
    <row r="105" spans="1:11" x14ac:dyDescent="0.2">
      <c r="A105" s="108"/>
      <c r="B105" s="72" t="str">
        <f>IF(A105&lt;&gt;"",'EDC - PARAMETRAGE'!$A$3,"")</f>
        <v/>
      </c>
      <c r="C105" s="72" t="str">
        <f>IF(A105&lt;&gt;"",VLOOKUP(A105,'EDC - PRODUCTION'!$A$7:$E$49,5,FALSE),"")</f>
        <v/>
      </c>
      <c r="D105" s="72" t="str">
        <f>IF(A105&lt;&gt;"",VLOOKUP(A105,'EDC - PRODUCTION'!$A$7:$I$49,4,FALSE),"")</f>
        <v/>
      </c>
      <c r="E105" s="44"/>
      <c r="F105" s="45" t="str">
        <f t="shared" si="5"/>
        <v/>
      </c>
      <c r="G105" s="56" t="str">
        <f t="shared" si="6"/>
        <v/>
      </c>
      <c r="H105" s="73"/>
      <c r="I105" s="73"/>
      <c r="J105" s="112" t="str">
        <f t="shared" si="7"/>
        <v/>
      </c>
      <c r="K105" s="68"/>
    </row>
    <row r="106" spans="1:11" x14ac:dyDescent="0.2">
      <c r="A106" s="108"/>
      <c r="B106" s="72" t="str">
        <f>IF(A106&lt;&gt;"",'EDC - PARAMETRAGE'!$A$3,"")</f>
        <v/>
      </c>
      <c r="C106" s="72" t="str">
        <f>IF(A106&lt;&gt;"",VLOOKUP(A106,'EDC - PRODUCTION'!$A$7:$E$49,5,FALSE),"")</f>
        <v/>
      </c>
      <c r="D106" s="72" t="str">
        <f>IF(A106&lt;&gt;"",VLOOKUP(A106,'EDC - PRODUCTION'!$A$7:$I$49,4,FALSE),"")</f>
        <v/>
      </c>
      <c r="E106" s="44"/>
      <c r="F106" s="45" t="str">
        <f t="shared" si="5"/>
        <v/>
      </c>
      <c r="G106" s="56" t="str">
        <f t="shared" si="6"/>
        <v/>
      </c>
      <c r="H106" s="73"/>
      <c r="I106" s="73"/>
      <c r="J106" s="112" t="str">
        <f t="shared" si="7"/>
        <v/>
      </c>
      <c r="K106" s="68"/>
    </row>
    <row r="107" spans="1:11" x14ac:dyDescent="0.2">
      <c r="A107" s="108"/>
      <c r="B107" s="72" t="str">
        <f>IF(A107&lt;&gt;"",'EDC - PARAMETRAGE'!$A$3,"")</f>
        <v/>
      </c>
      <c r="C107" s="72" t="str">
        <f>IF(A107&lt;&gt;"",VLOOKUP(A107,'EDC - PRODUCTION'!$A$7:$E$49,5,FALSE),"")</f>
        <v/>
      </c>
      <c r="D107" s="72" t="str">
        <f>IF(A107&lt;&gt;"",VLOOKUP(A107,'EDC - PRODUCTION'!$A$7:$I$49,4,FALSE),"")</f>
        <v/>
      </c>
      <c r="E107" s="44"/>
      <c r="F107" s="45" t="str">
        <f t="shared" si="5"/>
        <v/>
      </c>
      <c r="G107" s="56" t="str">
        <f t="shared" si="6"/>
        <v/>
      </c>
      <c r="H107" s="73"/>
      <c r="I107" s="73"/>
      <c r="J107" s="112" t="str">
        <f t="shared" si="7"/>
        <v/>
      </c>
      <c r="K107" s="68"/>
    </row>
    <row r="108" spans="1:11" x14ac:dyDescent="0.2">
      <c r="A108" s="108"/>
      <c r="B108" s="72" t="str">
        <f>IF(A108&lt;&gt;"",'EDC - PARAMETRAGE'!$A$3,"")</f>
        <v/>
      </c>
      <c r="C108" s="72" t="str">
        <f>IF(A108&lt;&gt;"",VLOOKUP(A108,'EDC - PRODUCTION'!$A$7:$E$49,5,FALSE),"")</f>
        <v/>
      </c>
      <c r="D108" s="72" t="str">
        <f>IF(A108&lt;&gt;"",VLOOKUP(A108,'EDC - PRODUCTION'!$A$7:$I$49,4,FALSE),"")</f>
        <v/>
      </c>
      <c r="E108" s="44"/>
      <c r="F108" s="45" t="str">
        <f t="shared" si="5"/>
        <v/>
      </c>
      <c r="G108" s="56" t="str">
        <f t="shared" si="6"/>
        <v/>
      </c>
      <c r="H108" s="73"/>
      <c r="I108" s="73"/>
      <c r="J108" s="112" t="str">
        <f t="shared" si="7"/>
        <v/>
      </c>
      <c r="K108" s="68"/>
    </row>
    <row r="109" spans="1:11" x14ac:dyDescent="0.2">
      <c r="A109" s="108"/>
      <c r="B109" s="72" t="str">
        <f>IF(A109&lt;&gt;"",'EDC - PARAMETRAGE'!$A$3,"")</f>
        <v/>
      </c>
      <c r="C109" s="72" t="str">
        <f>IF(A109&lt;&gt;"",VLOOKUP(A109,'EDC - PRODUCTION'!$A$7:$E$49,5,FALSE),"")</f>
        <v/>
      </c>
      <c r="D109" s="72" t="str">
        <f>IF(A109&lt;&gt;"",VLOOKUP(A109,'EDC - PRODUCTION'!$A$7:$I$49,4,FALSE),"")</f>
        <v/>
      </c>
      <c r="E109" s="44"/>
      <c r="F109" s="45" t="str">
        <f t="shared" si="5"/>
        <v/>
      </c>
      <c r="G109" s="56" t="str">
        <f t="shared" si="6"/>
        <v/>
      </c>
      <c r="H109" s="73"/>
      <c r="I109" s="73"/>
      <c r="J109" s="112" t="str">
        <f t="shared" si="7"/>
        <v/>
      </c>
      <c r="K109" s="68"/>
    </row>
    <row r="110" spans="1:11" x14ac:dyDescent="0.2">
      <c r="A110" s="108"/>
      <c r="B110" s="72" t="str">
        <f>IF(A110&lt;&gt;"",'EDC - PARAMETRAGE'!$A$3,"")</f>
        <v/>
      </c>
      <c r="C110" s="72" t="str">
        <f>IF(A110&lt;&gt;"",VLOOKUP(A110,'EDC - PRODUCTION'!$A$7:$E$49,5,FALSE),"")</f>
        <v/>
      </c>
      <c r="D110" s="72" t="str">
        <f>IF(A110&lt;&gt;"",VLOOKUP(A110,'EDC - PRODUCTION'!$A$7:$I$49,4,FALSE),"")</f>
        <v/>
      </c>
      <c r="E110" s="44"/>
      <c r="F110" s="45" t="str">
        <f t="shared" si="5"/>
        <v/>
      </c>
      <c r="G110" s="56" t="str">
        <f t="shared" si="6"/>
        <v/>
      </c>
      <c r="H110" s="73"/>
      <c r="I110" s="73"/>
      <c r="J110" s="112" t="str">
        <f t="shared" si="7"/>
        <v/>
      </c>
      <c r="K110" s="68"/>
    </row>
    <row r="111" spans="1:11" x14ac:dyDescent="0.2">
      <c r="A111" s="108"/>
      <c r="B111" s="72" t="str">
        <f>IF(A111&lt;&gt;"",'EDC - PARAMETRAGE'!$A$3,"")</f>
        <v/>
      </c>
      <c r="C111" s="72" t="str">
        <f>IF(A111&lt;&gt;"",VLOOKUP(A111,'EDC - PRODUCTION'!$A$7:$E$49,5,FALSE),"")</f>
        <v/>
      </c>
      <c r="D111" s="72" t="str">
        <f>IF(A111&lt;&gt;"",VLOOKUP(A111,'EDC - PRODUCTION'!$A$7:$I$49,4,FALSE),"")</f>
        <v/>
      </c>
      <c r="E111" s="44"/>
      <c r="F111" s="45" t="str">
        <f t="shared" si="5"/>
        <v/>
      </c>
      <c r="G111" s="56" t="str">
        <f t="shared" si="6"/>
        <v/>
      </c>
      <c r="H111" s="73"/>
      <c r="I111" s="73"/>
      <c r="J111" s="112" t="str">
        <f t="shared" si="7"/>
        <v/>
      </c>
      <c r="K111" s="68"/>
    </row>
    <row r="112" spans="1:11" x14ac:dyDescent="0.2">
      <c r="A112" s="108"/>
      <c r="B112" s="72" t="str">
        <f>IF(A112&lt;&gt;"",'EDC - PARAMETRAGE'!$A$3,"")</f>
        <v/>
      </c>
      <c r="C112" s="72" t="str">
        <f>IF(A112&lt;&gt;"",VLOOKUP(A112,'EDC - PRODUCTION'!$A$7:$E$49,5,FALSE),"")</f>
        <v/>
      </c>
      <c r="D112" s="72" t="str">
        <f>IF(A112&lt;&gt;"",VLOOKUP(A112,'EDC - PRODUCTION'!$A$7:$I$49,4,FALSE),"")</f>
        <v/>
      </c>
      <c r="E112" s="44"/>
      <c r="F112" s="45" t="str">
        <f t="shared" si="5"/>
        <v/>
      </c>
      <c r="G112" s="56" t="str">
        <f t="shared" si="6"/>
        <v/>
      </c>
      <c r="H112" s="73"/>
      <c r="I112" s="73"/>
      <c r="J112" s="112" t="str">
        <f t="shared" si="7"/>
        <v/>
      </c>
      <c r="K112" s="68"/>
    </row>
    <row r="113" spans="1:11" x14ac:dyDescent="0.2">
      <c r="A113" s="108"/>
      <c r="B113" s="72" t="str">
        <f>IF(A113&lt;&gt;"",'EDC - PARAMETRAGE'!$A$3,"")</f>
        <v/>
      </c>
      <c r="C113" s="72" t="str">
        <f>IF(A113&lt;&gt;"",VLOOKUP(A113,'EDC - PRODUCTION'!$A$7:$E$49,5,FALSE),"")</f>
        <v/>
      </c>
      <c r="D113" s="72" t="str">
        <f>IF(A113&lt;&gt;"",VLOOKUP(A113,'EDC - PRODUCTION'!$A$7:$I$49,4,FALSE),"")</f>
        <v/>
      </c>
      <c r="E113" s="44"/>
      <c r="F113" s="45" t="str">
        <f t="shared" si="5"/>
        <v/>
      </c>
      <c r="G113" s="56" t="str">
        <f t="shared" si="6"/>
        <v/>
      </c>
      <c r="H113" s="73"/>
      <c r="I113" s="73"/>
      <c r="J113" s="112" t="str">
        <f t="shared" si="7"/>
        <v/>
      </c>
      <c r="K113" s="68"/>
    </row>
    <row r="114" spans="1:11" x14ac:dyDescent="0.2">
      <c r="A114" s="108"/>
      <c r="B114" s="72" t="str">
        <f>IF(A114&lt;&gt;"",'EDC - PARAMETRAGE'!$A$3,"")</f>
        <v/>
      </c>
      <c r="C114" s="72" t="str">
        <f>IF(A114&lt;&gt;"",VLOOKUP(A114,'EDC - PRODUCTION'!$A$7:$E$49,5,FALSE),"")</f>
        <v/>
      </c>
      <c r="D114" s="72" t="str">
        <f>IF(A114&lt;&gt;"",VLOOKUP(A114,'EDC - PRODUCTION'!$A$7:$I$49,4,FALSE),"")</f>
        <v/>
      </c>
      <c r="E114" s="44"/>
      <c r="F114" s="45" t="str">
        <f t="shared" si="5"/>
        <v/>
      </c>
      <c r="G114" s="56" t="str">
        <f t="shared" si="6"/>
        <v/>
      </c>
      <c r="H114" s="73"/>
      <c r="I114" s="73"/>
      <c r="J114" s="112" t="str">
        <f t="shared" si="7"/>
        <v/>
      </c>
      <c r="K114" s="68"/>
    </row>
    <row r="115" spans="1:11" x14ac:dyDescent="0.2">
      <c r="A115" s="108"/>
      <c r="B115" s="72" t="str">
        <f>IF(A115&lt;&gt;"",'EDC - PARAMETRAGE'!$A$3,"")</f>
        <v/>
      </c>
      <c r="C115" s="72" t="str">
        <f>IF(A115&lt;&gt;"",VLOOKUP(A115,'EDC - PRODUCTION'!$A$7:$E$49,5,FALSE),"")</f>
        <v/>
      </c>
      <c r="D115" s="72" t="str">
        <f>IF(A115&lt;&gt;"",VLOOKUP(A115,'EDC - PRODUCTION'!$A$7:$I$49,4,FALSE),"")</f>
        <v/>
      </c>
      <c r="E115" s="44"/>
      <c r="F115" s="45" t="str">
        <f t="shared" si="5"/>
        <v/>
      </c>
      <c r="G115" s="56" t="str">
        <f t="shared" si="6"/>
        <v/>
      </c>
      <c r="H115" s="73"/>
      <c r="I115" s="73"/>
      <c r="J115" s="112" t="str">
        <f t="shared" si="7"/>
        <v/>
      </c>
      <c r="K115" s="68"/>
    </row>
    <row r="116" spans="1:11" x14ac:dyDescent="0.2">
      <c r="A116" s="108"/>
      <c r="B116" s="72" t="str">
        <f>IF(A116&lt;&gt;"",'EDC - PARAMETRAGE'!$A$3,"")</f>
        <v/>
      </c>
      <c r="C116" s="72" t="str">
        <f>IF(A116&lt;&gt;"",VLOOKUP(A116,'EDC - PRODUCTION'!$A$7:$E$49,5,FALSE),"")</f>
        <v/>
      </c>
      <c r="D116" s="72" t="str">
        <f>IF(A116&lt;&gt;"",VLOOKUP(A116,'EDC - PRODUCTION'!$A$7:$I$49,4,FALSE),"")</f>
        <v/>
      </c>
      <c r="E116" s="44"/>
      <c r="F116" s="45" t="str">
        <f t="shared" si="5"/>
        <v/>
      </c>
      <c r="G116" s="56" t="str">
        <f t="shared" si="6"/>
        <v/>
      </c>
      <c r="H116" s="73"/>
      <c r="I116" s="73"/>
      <c r="J116" s="112" t="str">
        <f t="shared" si="7"/>
        <v/>
      </c>
      <c r="K116" s="68"/>
    </row>
    <row r="117" spans="1:11" x14ac:dyDescent="0.2">
      <c r="A117" s="108"/>
      <c r="B117" s="72" t="str">
        <f>IF(A117&lt;&gt;"",'EDC - PARAMETRAGE'!$A$3,"")</f>
        <v/>
      </c>
      <c r="C117" s="72" t="str">
        <f>IF(A117&lt;&gt;"",VLOOKUP(A117,'EDC - PRODUCTION'!$A$7:$E$49,5,FALSE),"")</f>
        <v/>
      </c>
      <c r="D117" s="72" t="str">
        <f>IF(A117&lt;&gt;"",VLOOKUP(A117,'EDC - PRODUCTION'!$A$7:$I$49,4,FALSE),"")</f>
        <v/>
      </c>
      <c r="E117" s="44"/>
      <c r="F117" s="45" t="str">
        <f t="shared" si="5"/>
        <v/>
      </c>
      <c r="G117" s="56" t="str">
        <f t="shared" si="6"/>
        <v/>
      </c>
      <c r="H117" s="73"/>
      <c r="I117" s="73"/>
      <c r="J117" s="112" t="str">
        <f t="shared" si="7"/>
        <v/>
      </c>
      <c r="K117" s="68"/>
    </row>
    <row r="118" spans="1:11" x14ac:dyDescent="0.2">
      <c r="A118" s="108"/>
      <c r="B118" s="72" t="str">
        <f>IF(A118&lt;&gt;"",'EDC - PARAMETRAGE'!$A$3,"")</f>
        <v/>
      </c>
      <c r="C118" s="72" t="str">
        <f>IF(A118&lt;&gt;"",VLOOKUP(A118,'EDC - PRODUCTION'!$A$7:$E$49,5,FALSE),"")</f>
        <v/>
      </c>
      <c r="D118" s="72" t="str">
        <f>IF(A118&lt;&gt;"",VLOOKUP(A118,'EDC - PRODUCTION'!$A$7:$I$49,4,FALSE),"")</f>
        <v/>
      </c>
      <c r="E118" s="44"/>
      <c r="F118" s="45" t="str">
        <f t="shared" si="5"/>
        <v/>
      </c>
      <c r="G118" s="56" t="str">
        <f t="shared" si="6"/>
        <v/>
      </c>
      <c r="H118" s="73"/>
      <c r="I118" s="73"/>
      <c r="J118" s="112" t="str">
        <f t="shared" si="7"/>
        <v/>
      </c>
      <c r="K118" s="68"/>
    </row>
    <row r="119" spans="1:11" x14ac:dyDescent="0.2">
      <c r="A119" s="108"/>
      <c r="B119" s="72" t="str">
        <f>IF(A119&lt;&gt;"",'EDC - PARAMETRAGE'!$A$3,"")</f>
        <v/>
      </c>
      <c r="C119" s="72" t="str">
        <f>IF(A119&lt;&gt;"",VLOOKUP(A119,'EDC - PRODUCTION'!$A$7:$E$49,5,FALSE),"")</f>
        <v/>
      </c>
      <c r="D119" s="72" t="str">
        <f>IF(A119&lt;&gt;"",VLOOKUP(A119,'EDC - PRODUCTION'!$A$7:$I$49,4,FALSE),"")</f>
        <v/>
      </c>
      <c r="E119" s="44"/>
      <c r="F119" s="45" t="str">
        <f t="shared" si="5"/>
        <v/>
      </c>
      <c r="G119" s="56" t="str">
        <f t="shared" si="6"/>
        <v/>
      </c>
      <c r="H119" s="73"/>
      <c r="I119" s="73"/>
      <c r="J119" s="112" t="str">
        <f t="shared" si="7"/>
        <v/>
      </c>
      <c r="K119" s="68"/>
    </row>
    <row r="120" spans="1:11" x14ac:dyDescent="0.2">
      <c r="A120" s="108"/>
      <c r="B120" s="72" t="str">
        <f>IF(A120&lt;&gt;"",'EDC - PARAMETRAGE'!$A$3,"")</f>
        <v/>
      </c>
      <c r="C120" s="72" t="str">
        <f>IF(A120&lt;&gt;"",VLOOKUP(A120,'EDC - PRODUCTION'!$A$7:$E$49,5,FALSE),"")</f>
        <v/>
      </c>
      <c r="D120" s="72" t="str">
        <f>IF(A120&lt;&gt;"",VLOOKUP(A120,'EDC - PRODUCTION'!$A$7:$I$49,4,FALSE),"")</f>
        <v/>
      </c>
      <c r="E120" s="44"/>
      <c r="F120" s="45" t="str">
        <f t="shared" si="5"/>
        <v/>
      </c>
      <c r="G120" s="56" t="str">
        <f t="shared" si="6"/>
        <v/>
      </c>
      <c r="H120" s="73"/>
      <c r="I120" s="73"/>
      <c r="J120" s="112" t="str">
        <f t="shared" si="7"/>
        <v/>
      </c>
      <c r="K120" s="68"/>
    </row>
    <row r="121" spans="1:11" x14ac:dyDescent="0.2">
      <c r="A121" s="108"/>
      <c r="B121" s="72" t="str">
        <f>IF(A121&lt;&gt;"",'EDC - PARAMETRAGE'!$A$3,"")</f>
        <v/>
      </c>
      <c r="C121" s="72" t="str">
        <f>IF(A121&lt;&gt;"",VLOOKUP(A121,'EDC - PRODUCTION'!$A$7:$E$49,5,FALSE),"")</f>
        <v/>
      </c>
      <c r="D121" s="72" t="str">
        <f>IF(A121&lt;&gt;"",VLOOKUP(A121,'EDC - PRODUCTION'!$A$7:$I$49,4,FALSE),"")</f>
        <v/>
      </c>
      <c r="E121" s="44"/>
      <c r="F121" s="45" t="str">
        <f t="shared" si="5"/>
        <v/>
      </c>
      <c r="G121" s="56" t="str">
        <f t="shared" si="6"/>
        <v/>
      </c>
      <c r="H121" s="73"/>
      <c r="I121" s="73"/>
      <c r="J121" s="112" t="str">
        <f t="shared" si="7"/>
        <v/>
      </c>
      <c r="K121" s="68"/>
    </row>
    <row r="122" spans="1:11" x14ac:dyDescent="0.2">
      <c r="A122" s="108"/>
      <c r="B122" s="72" t="str">
        <f>IF(A122&lt;&gt;"",'EDC - PARAMETRAGE'!$A$3,"")</f>
        <v/>
      </c>
      <c r="C122" s="72" t="str">
        <f>IF(A122&lt;&gt;"",VLOOKUP(A122,'EDC - PRODUCTION'!$A$7:$E$49,5,FALSE),"")</f>
        <v/>
      </c>
      <c r="D122" s="72" t="str">
        <f>IF(A122&lt;&gt;"",VLOOKUP(A122,'EDC - PRODUCTION'!$A$7:$I$49,4,FALSE),"")</f>
        <v/>
      </c>
      <c r="E122" s="44"/>
      <c r="F122" s="45" t="str">
        <f t="shared" si="5"/>
        <v/>
      </c>
      <c r="G122" s="56" t="str">
        <f t="shared" si="6"/>
        <v/>
      </c>
      <c r="H122" s="73"/>
      <c r="I122" s="73"/>
      <c r="J122" s="112" t="str">
        <f t="shared" si="7"/>
        <v/>
      </c>
      <c r="K122" s="68"/>
    </row>
    <row r="123" spans="1:11" x14ac:dyDescent="0.2">
      <c r="A123" s="108"/>
      <c r="B123" s="72" t="str">
        <f>IF(A123&lt;&gt;"",'EDC - PARAMETRAGE'!$A$3,"")</f>
        <v/>
      </c>
      <c r="C123" s="72" t="str">
        <f>IF(A123&lt;&gt;"",VLOOKUP(A123,'EDC - PRODUCTION'!$A$7:$E$49,5,FALSE),"")</f>
        <v/>
      </c>
      <c r="D123" s="72" t="str">
        <f>IF(A123&lt;&gt;"",VLOOKUP(A123,'EDC - PRODUCTION'!$A$7:$I$49,4,FALSE),"")</f>
        <v/>
      </c>
      <c r="E123" s="44"/>
      <c r="F123" s="45" t="str">
        <f t="shared" si="5"/>
        <v/>
      </c>
      <c r="G123" s="56" t="str">
        <f t="shared" si="6"/>
        <v/>
      </c>
      <c r="H123" s="73"/>
      <c r="I123" s="73"/>
      <c r="J123" s="112" t="str">
        <f t="shared" si="7"/>
        <v/>
      </c>
      <c r="K123" s="68"/>
    </row>
    <row r="124" spans="1:11" x14ac:dyDescent="0.2">
      <c r="A124" s="108"/>
      <c r="B124" s="72" t="str">
        <f>IF(A124&lt;&gt;"",'EDC - PARAMETRAGE'!$A$3,"")</f>
        <v/>
      </c>
      <c r="C124" s="72" t="str">
        <f>IF(A124&lt;&gt;"",VLOOKUP(A124,'EDC - PRODUCTION'!$A$7:$E$49,5,FALSE),"")</f>
        <v/>
      </c>
      <c r="D124" s="72" t="str">
        <f>IF(A124&lt;&gt;"",VLOOKUP(A124,'EDC - PRODUCTION'!$A$7:$I$49,4,FALSE),"")</f>
        <v/>
      </c>
      <c r="E124" s="44"/>
      <c r="F124" s="45" t="str">
        <f t="shared" si="5"/>
        <v/>
      </c>
      <c r="G124" s="56" t="str">
        <f t="shared" si="6"/>
        <v/>
      </c>
      <c r="H124" s="73"/>
      <c r="I124" s="73"/>
      <c r="J124" s="112" t="str">
        <f t="shared" si="7"/>
        <v/>
      </c>
      <c r="K124" s="68"/>
    </row>
    <row r="125" spans="1:11" x14ac:dyDescent="0.2">
      <c r="A125" s="108"/>
      <c r="B125" s="72" t="str">
        <f>IF(A125&lt;&gt;"",'EDC - PARAMETRAGE'!$A$3,"")</f>
        <v/>
      </c>
      <c r="C125" s="72" t="str">
        <f>IF(A125&lt;&gt;"",VLOOKUP(A125,'EDC - PRODUCTION'!$A$7:$E$49,5,FALSE),"")</f>
        <v/>
      </c>
      <c r="D125" s="72" t="str">
        <f>IF(A125&lt;&gt;"",VLOOKUP(A125,'EDC - PRODUCTION'!$A$7:$I$49,4,FALSE),"")</f>
        <v/>
      </c>
      <c r="E125" s="44"/>
      <c r="F125" s="45" t="str">
        <f t="shared" si="5"/>
        <v/>
      </c>
      <c r="G125" s="56" t="str">
        <f t="shared" si="6"/>
        <v/>
      </c>
      <c r="H125" s="73"/>
      <c r="I125" s="73"/>
      <c r="J125" s="112" t="str">
        <f t="shared" si="7"/>
        <v/>
      </c>
      <c r="K125" s="68"/>
    </row>
    <row r="126" spans="1:11" x14ac:dyDescent="0.2">
      <c r="A126" s="108"/>
      <c r="B126" s="72" t="str">
        <f>IF(A126&lt;&gt;"",'EDC - PARAMETRAGE'!$A$3,"")</f>
        <v/>
      </c>
      <c r="C126" s="72" t="str">
        <f>IF(A126&lt;&gt;"",VLOOKUP(A126,'EDC - PRODUCTION'!$A$7:$E$49,5,FALSE),"")</f>
        <v/>
      </c>
      <c r="D126" s="72" t="str">
        <f>IF(A126&lt;&gt;"",VLOOKUP(A126,'EDC - PRODUCTION'!$A$7:$I$49,4,FALSE),"")</f>
        <v/>
      </c>
      <c r="E126" s="44"/>
      <c r="F126" s="45" t="str">
        <f t="shared" si="5"/>
        <v/>
      </c>
      <c r="G126" s="56" t="str">
        <f t="shared" si="6"/>
        <v/>
      </c>
      <c r="H126" s="73"/>
      <c r="I126" s="73"/>
      <c r="J126" s="112" t="str">
        <f t="shared" si="7"/>
        <v/>
      </c>
      <c r="K126" s="68"/>
    </row>
    <row r="127" spans="1:11" x14ac:dyDescent="0.2">
      <c r="A127" s="108"/>
      <c r="B127" s="72" t="str">
        <f>IF(A127&lt;&gt;"",'EDC - PARAMETRAGE'!$A$3,"")</f>
        <v/>
      </c>
      <c r="C127" s="72" t="str">
        <f>IF(A127&lt;&gt;"",VLOOKUP(A127,'EDC - PRODUCTION'!$A$7:$E$49,5,FALSE),"")</f>
        <v/>
      </c>
      <c r="D127" s="72" t="str">
        <f>IF(A127&lt;&gt;"",VLOOKUP(A127,'EDC - PRODUCTION'!$A$7:$I$49,4,FALSE),"")</f>
        <v/>
      </c>
      <c r="E127" s="44"/>
      <c r="F127" s="45" t="str">
        <f t="shared" si="5"/>
        <v/>
      </c>
      <c r="G127" s="56" t="str">
        <f t="shared" si="6"/>
        <v/>
      </c>
      <c r="H127" s="73"/>
      <c r="I127" s="73"/>
      <c r="J127" s="112" t="str">
        <f t="shared" si="7"/>
        <v/>
      </c>
      <c r="K127" s="68"/>
    </row>
    <row r="128" spans="1:11" x14ac:dyDescent="0.2">
      <c r="A128" s="108"/>
      <c r="B128" s="72" t="str">
        <f>IF(A128&lt;&gt;"",'EDC - PARAMETRAGE'!$A$3,"")</f>
        <v/>
      </c>
      <c r="C128" s="72" t="str">
        <f>IF(A128&lt;&gt;"",VLOOKUP(A128,'EDC - PRODUCTION'!$A$7:$E$49,5,FALSE),"")</f>
        <v/>
      </c>
      <c r="D128" s="72" t="str">
        <f>IF(A128&lt;&gt;"",VLOOKUP(A128,'EDC - PRODUCTION'!$A$7:$I$49,4,FALSE),"")</f>
        <v/>
      </c>
      <c r="E128" s="44"/>
      <c r="F128" s="45" t="str">
        <f t="shared" si="5"/>
        <v/>
      </c>
      <c r="G128" s="56" t="str">
        <f t="shared" si="6"/>
        <v/>
      </c>
      <c r="H128" s="73"/>
      <c r="I128" s="73"/>
      <c r="J128" s="112" t="str">
        <f t="shared" si="7"/>
        <v/>
      </c>
      <c r="K128" s="68"/>
    </row>
    <row r="129" spans="1:11" x14ac:dyDescent="0.2">
      <c r="A129" s="108"/>
      <c r="B129" s="72" t="str">
        <f>IF(A129&lt;&gt;"",'EDC - PARAMETRAGE'!$A$3,"")</f>
        <v/>
      </c>
      <c r="C129" s="72" t="str">
        <f>IF(A129&lt;&gt;"",VLOOKUP(A129,'EDC - PRODUCTION'!$A$7:$E$49,5,FALSE),"")</f>
        <v/>
      </c>
      <c r="D129" s="72" t="str">
        <f>IF(A129&lt;&gt;"",VLOOKUP(A129,'EDC - PRODUCTION'!$A$7:$I$49,4,FALSE),"")</f>
        <v/>
      </c>
      <c r="E129" s="44"/>
      <c r="F129" s="45" t="str">
        <f t="shared" si="5"/>
        <v/>
      </c>
      <c r="G129" s="56" t="str">
        <f t="shared" si="6"/>
        <v/>
      </c>
      <c r="H129" s="73"/>
      <c r="I129" s="73"/>
      <c r="J129" s="112" t="str">
        <f t="shared" si="7"/>
        <v/>
      </c>
      <c r="K129" s="68"/>
    </row>
    <row r="130" spans="1:11" x14ac:dyDescent="0.2">
      <c r="A130" s="108"/>
      <c r="B130" s="72" t="str">
        <f>IF(A130&lt;&gt;"",'EDC - PARAMETRAGE'!$A$3,"")</f>
        <v/>
      </c>
      <c r="C130" s="72" t="str">
        <f>IF(A130&lt;&gt;"",VLOOKUP(A130,'EDC - PRODUCTION'!$A$7:$E$49,5,FALSE),"")</f>
        <v/>
      </c>
      <c r="D130" s="72" t="str">
        <f>IF(A130&lt;&gt;"",VLOOKUP(A130,'EDC - PRODUCTION'!$A$7:$I$49,4,FALSE),"")</f>
        <v/>
      </c>
      <c r="E130" s="44"/>
      <c r="F130" s="45" t="str">
        <f t="shared" si="5"/>
        <v/>
      </c>
      <c r="G130" s="56" t="str">
        <f t="shared" si="6"/>
        <v/>
      </c>
      <c r="H130" s="73"/>
      <c r="I130" s="73"/>
      <c r="J130" s="112" t="str">
        <f t="shared" si="7"/>
        <v/>
      </c>
      <c r="K130" s="68"/>
    </row>
    <row r="131" spans="1:11" x14ac:dyDescent="0.2">
      <c r="A131" s="108"/>
      <c r="B131" s="72" t="str">
        <f>IF(A131&lt;&gt;"",'EDC - PARAMETRAGE'!$A$3,"")</f>
        <v/>
      </c>
      <c r="C131" s="72" t="str">
        <f>IF(A131&lt;&gt;"",VLOOKUP(A131,'EDC - PRODUCTION'!$A$7:$E$49,5,FALSE),"")</f>
        <v/>
      </c>
      <c r="D131" s="72" t="str">
        <f>IF(A131&lt;&gt;"",VLOOKUP(A131,'EDC - PRODUCTION'!$A$7:$I$49,4,FALSE),"")</f>
        <v/>
      </c>
      <c r="E131" s="44"/>
      <c r="F131" s="45" t="str">
        <f t="shared" si="5"/>
        <v/>
      </c>
      <c r="G131" s="56" t="str">
        <f t="shared" si="6"/>
        <v/>
      </c>
      <c r="H131" s="73"/>
      <c r="I131" s="73"/>
      <c r="J131" s="112" t="str">
        <f t="shared" si="7"/>
        <v/>
      </c>
      <c r="K131" s="68"/>
    </row>
    <row r="132" spans="1:11" x14ac:dyDescent="0.2">
      <c r="A132" s="108"/>
      <c r="B132" s="72" t="str">
        <f>IF(A132&lt;&gt;"",'EDC - PARAMETRAGE'!$A$3,"")</f>
        <v/>
      </c>
      <c r="C132" s="72" t="str">
        <f>IF(A132&lt;&gt;"",VLOOKUP(A132,'EDC - PRODUCTION'!$A$7:$E$49,5,FALSE),"")</f>
        <v/>
      </c>
      <c r="D132" s="72" t="str">
        <f>IF(A132&lt;&gt;"",VLOOKUP(A132,'EDC - PRODUCTION'!$A$7:$I$49,4,FALSE),"")</f>
        <v/>
      </c>
      <c r="E132" s="44"/>
      <c r="F132" s="45" t="str">
        <f t="shared" ref="F132:F195" si="8">IF(A132&lt;&gt;"","DDE","")</f>
        <v/>
      </c>
      <c r="G132" s="56" t="str">
        <f t="shared" ref="G132:G195" si="9">IF(A132&lt;&gt;"",1,"")</f>
        <v/>
      </c>
      <c r="H132" s="73"/>
      <c r="I132" s="73"/>
      <c r="J132" s="112" t="str">
        <f t="shared" ref="J132:J195" si="10">IF(A132&lt;&gt;"",SUM(H132:I132),"")</f>
        <v/>
      </c>
      <c r="K132" s="68"/>
    </row>
    <row r="133" spans="1:11" x14ac:dyDescent="0.2">
      <c r="A133" s="108"/>
      <c r="B133" s="72" t="str">
        <f>IF(A133&lt;&gt;"",'EDC - PARAMETRAGE'!$A$3,"")</f>
        <v/>
      </c>
      <c r="C133" s="72" t="str">
        <f>IF(A133&lt;&gt;"",VLOOKUP(A133,'EDC - PRODUCTION'!$A$7:$E$49,5,FALSE),"")</f>
        <v/>
      </c>
      <c r="D133" s="72" t="str">
        <f>IF(A133&lt;&gt;"",VLOOKUP(A133,'EDC - PRODUCTION'!$A$7:$I$49,4,FALSE),"")</f>
        <v/>
      </c>
      <c r="E133" s="44"/>
      <c r="F133" s="45" t="str">
        <f t="shared" si="8"/>
        <v/>
      </c>
      <c r="G133" s="56" t="str">
        <f t="shared" si="9"/>
        <v/>
      </c>
      <c r="H133" s="73"/>
      <c r="I133" s="73"/>
      <c r="J133" s="112" t="str">
        <f t="shared" si="10"/>
        <v/>
      </c>
      <c r="K133" s="68"/>
    </row>
    <row r="134" spans="1:11" x14ac:dyDescent="0.2">
      <c r="A134" s="108"/>
      <c r="B134" s="72" t="str">
        <f>IF(A134&lt;&gt;"",'EDC - PARAMETRAGE'!$A$3,"")</f>
        <v/>
      </c>
      <c r="C134" s="72" t="str">
        <f>IF(A134&lt;&gt;"",VLOOKUP(A134,'EDC - PRODUCTION'!$A$7:$E$49,5,FALSE),"")</f>
        <v/>
      </c>
      <c r="D134" s="72" t="str">
        <f>IF(A134&lt;&gt;"",VLOOKUP(A134,'EDC - PRODUCTION'!$A$7:$I$49,4,FALSE),"")</f>
        <v/>
      </c>
      <c r="E134" s="44"/>
      <c r="F134" s="45" t="str">
        <f t="shared" si="8"/>
        <v/>
      </c>
      <c r="G134" s="56" t="str">
        <f t="shared" si="9"/>
        <v/>
      </c>
      <c r="H134" s="73"/>
      <c r="I134" s="73"/>
      <c r="J134" s="112" t="str">
        <f t="shared" si="10"/>
        <v/>
      </c>
      <c r="K134" s="68"/>
    </row>
    <row r="135" spans="1:11" x14ac:dyDescent="0.2">
      <c r="A135" s="108"/>
      <c r="B135" s="72" t="str">
        <f>IF(A135&lt;&gt;"",'EDC - PARAMETRAGE'!$A$3,"")</f>
        <v/>
      </c>
      <c r="C135" s="72" t="str">
        <f>IF(A135&lt;&gt;"",VLOOKUP(A135,'EDC - PRODUCTION'!$A$7:$E$49,5,FALSE),"")</f>
        <v/>
      </c>
      <c r="D135" s="72" t="str">
        <f>IF(A135&lt;&gt;"",VLOOKUP(A135,'EDC - PRODUCTION'!$A$7:$I$49,4,FALSE),"")</f>
        <v/>
      </c>
      <c r="E135" s="44"/>
      <c r="F135" s="45" t="str">
        <f t="shared" si="8"/>
        <v/>
      </c>
      <c r="G135" s="56" t="str">
        <f t="shared" si="9"/>
        <v/>
      </c>
      <c r="H135" s="73"/>
      <c r="I135" s="73"/>
      <c r="J135" s="112" t="str">
        <f t="shared" si="10"/>
        <v/>
      </c>
      <c r="K135" s="68"/>
    </row>
    <row r="136" spans="1:11" x14ac:dyDescent="0.2">
      <c r="A136" s="108"/>
      <c r="B136" s="72" t="str">
        <f>IF(A136&lt;&gt;"",'EDC - PARAMETRAGE'!$A$3,"")</f>
        <v/>
      </c>
      <c r="C136" s="72" t="str">
        <f>IF(A136&lt;&gt;"",VLOOKUP(A136,'EDC - PRODUCTION'!$A$7:$E$49,5,FALSE),"")</f>
        <v/>
      </c>
      <c r="D136" s="72" t="str">
        <f>IF(A136&lt;&gt;"",VLOOKUP(A136,'EDC - PRODUCTION'!$A$7:$I$49,4,FALSE),"")</f>
        <v/>
      </c>
      <c r="E136" s="44"/>
      <c r="F136" s="45" t="str">
        <f t="shared" si="8"/>
        <v/>
      </c>
      <c r="G136" s="56" t="str">
        <f t="shared" si="9"/>
        <v/>
      </c>
      <c r="H136" s="73"/>
      <c r="I136" s="73"/>
      <c r="J136" s="112" t="str">
        <f t="shared" si="10"/>
        <v/>
      </c>
      <c r="K136" s="68"/>
    </row>
    <row r="137" spans="1:11" x14ac:dyDescent="0.2">
      <c r="A137" s="108"/>
      <c r="B137" s="72" t="str">
        <f>IF(A137&lt;&gt;"",'EDC - PARAMETRAGE'!$A$3,"")</f>
        <v/>
      </c>
      <c r="C137" s="72" t="str">
        <f>IF(A137&lt;&gt;"",VLOOKUP(A137,'EDC - PRODUCTION'!$A$7:$E$49,5,FALSE),"")</f>
        <v/>
      </c>
      <c r="D137" s="72" t="str">
        <f>IF(A137&lt;&gt;"",VLOOKUP(A137,'EDC - PRODUCTION'!$A$7:$I$49,4,FALSE),"")</f>
        <v/>
      </c>
      <c r="E137" s="44"/>
      <c r="F137" s="45" t="str">
        <f t="shared" si="8"/>
        <v/>
      </c>
      <c r="G137" s="56" t="str">
        <f t="shared" si="9"/>
        <v/>
      </c>
      <c r="H137" s="73"/>
      <c r="I137" s="73"/>
      <c r="J137" s="112" t="str">
        <f t="shared" si="10"/>
        <v/>
      </c>
      <c r="K137" s="68"/>
    </row>
    <row r="138" spans="1:11" x14ac:dyDescent="0.2">
      <c r="A138" s="108"/>
      <c r="B138" s="72" t="str">
        <f>IF(A138&lt;&gt;"",'EDC - PARAMETRAGE'!$A$3,"")</f>
        <v/>
      </c>
      <c r="C138" s="72" t="str">
        <f>IF(A138&lt;&gt;"",VLOOKUP(A138,'EDC - PRODUCTION'!$A$7:$E$49,5,FALSE),"")</f>
        <v/>
      </c>
      <c r="D138" s="72" t="str">
        <f>IF(A138&lt;&gt;"",VLOOKUP(A138,'EDC - PRODUCTION'!$A$7:$I$49,4,FALSE),"")</f>
        <v/>
      </c>
      <c r="E138" s="44"/>
      <c r="F138" s="45" t="str">
        <f t="shared" si="8"/>
        <v/>
      </c>
      <c r="G138" s="56" t="str">
        <f t="shared" si="9"/>
        <v/>
      </c>
      <c r="H138" s="73"/>
      <c r="I138" s="73"/>
      <c r="J138" s="112" t="str">
        <f t="shared" si="10"/>
        <v/>
      </c>
      <c r="K138" s="68"/>
    </row>
    <row r="139" spans="1:11" x14ac:dyDescent="0.2">
      <c r="A139" s="108"/>
      <c r="B139" s="72" t="str">
        <f>IF(A139&lt;&gt;"",'EDC - PARAMETRAGE'!$A$3,"")</f>
        <v/>
      </c>
      <c r="C139" s="72" t="str">
        <f>IF(A139&lt;&gt;"",VLOOKUP(A139,'EDC - PRODUCTION'!$A$7:$E$49,5,FALSE),"")</f>
        <v/>
      </c>
      <c r="D139" s="72" t="str">
        <f>IF(A139&lt;&gt;"",VLOOKUP(A139,'EDC - PRODUCTION'!$A$7:$I$49,4,FALSE),"")</f>
        <v/>
      </c>
      <c r="E139" s="44"/>
      <c r="F139" s="45" t="str">
        <f t="shared" si="8"/>
        <v/>
      </c>
      <c r="G139" s="56" t="str">
        <f t="shared" si="9"/>
        <v/>
      </c>
      <c r="H139" s="73"/>
      <c r="I139" s="73"/>
      <c r="J139" s="112" t="str">
        <f t="shared" si="10"/>
        <v/>
      </c>
      <c r="K139" s="68"/>
    </row>
    <row r="140" spans="1:11" x14ac:dyDescent="0.2">
      <c r="A140" s="108"/>
      <c r="B140" s="72" t="str">
        <f>IF(A140&lt;&gt;"",'EDC - PARAMETRAGE'!$A$3,"")</f>
        <v/>
      </c>
      <c r="C140" s="72" t="str">
        <f>IF(A140&lt;&gt;"",VLOOKUP(A140,'EDC - PRODUCTION'!$A$7:$E$49,5,FALSE),"")</f>
        <v/>
      </c>
      <c r="D140" s="72" t="str">
        <f>IF(A140&lt;&gt;"",VLOOKUP(A140,'EDC - PRODUCTION'!$A$7:$I$49,4,FALSE),"")</f>
        <v/>
      </c>
      <c r="E140" s="44"/>
      <c r="F140" s="45" t="str">
        <f t="shared" si="8"/>
        <v/>
      </c>
      <c r="G140" s="56" t="str">
        <f t="shared" si="9"/>
        <v/>
      </c>
      <c r="H140" s="73"/>
      <c r="I140" s="73"/>
      <c r="J140" s="112" t="str">
        <f t="shared" si="10"/>
        <v/>
      </c>
      <c r="K140" s="68"/>
    </row>
    <row r="141" spans="1:11" x14ac:dyDescent="0.2">
      <c r="A141" s="108"/>
      <c r="B141" s="72" t="str">
        <f>IF(A141&lt;&gt;"",'EDC - PARAMETRAGE'!$A$3,"")</f>
        <v/>
      </c>
      <c r="C141" s="72" t="str">
        <f>IF(A141&lt;&gt;"",VLOOKUP(A141,'EDC - PRODUCTION'!$A$7:$E$49,5,FALSE),"")</f>
        <v/>
      </c>
      <c r="D141" s="72" t="str">
        <f>IF(A141&lt;&gt;"",VLOOKUP(A141,'EDC - PRODUCTION'!$A$7:$I$49,4,FALSE),"")</f>
        <v/>
      </c>
      <c r="E141" s="44"/>
      <c r="F141" s="45" t="str">
        <f t="shared" si="8"/>
        <v/>
      </c>
      <c r="G141" s="56" t="str">
        <f t="shared" si="9"/>
        <v/>
      </c>
      <c r="H141" s="73"/>
      <c r="I141" s="73"/>
      <c r="J141" s="112" t="str">
        <f t="shared" si="10"/>
        <v/>
      </c>
      <c r="K141" s="68"/>
    </row>
    <row r="142" spans="1:11" x14ac:dyDescent="0.2">
      <c r="A142" s="108"/>
      <c r="B142" s="72" t="str">
        <f>IF(A142&lt;&gt;"",'EDC - PARAMETRAGE'!$A$3,"")</f>
        <v/>
      </c>
      <c r="C142" s="72" t="str">
        <f>IF(A142&lt;&gt;"",VLOOKUP(A142,'EDC - PRODUCTION'!$A$7:$E$49,5,FALSE),"")</f>
        <v/>
      </c>
      <c r="D142" s="72" t="str">
        <f>IF(A142&lt;&gt;"",VLOOKUP(A142,'EDC - PRODUCTION'!$A$7:$I$49,4,FALSE),"")</f>
        <v/>
      </c>
      <c r="E142" s="44"/>
      <c r="F142" s="45" t="str">
        <f t="shared" si="8"/>
        <v/>
      </c>
      <c r="G142" s="56" t="str">
        <f t="shared" si="9"/>
        <v/>
      </c>
      <c r="H142" s="73"/>
      <c r="I142" s="73"/>
      <c r="J142" s="112" t="str">
        <f t="shared" si="10"/>
        <v/>
      </c>
      <c r="K142" s="68"/>
    </row>
    <row r="143" spans="1:11" x14ac:dyDescent="0.2">
      <c r="A143" s="108"/>
      <c r="B143" s="72" t="str">
        <f>IF(A143&lt;&gt;"",'EDC - PARAMETRAGE'!$A$3,"")</f>
        <v/>
      </c>
      <c r="C143" s="72" t="str">
        <f>IF(A143&lt;&gt;"",VLOOKUP(A143,'EDC - PRODUCTION'!$A$7:$E$49,5,FALSE),"")</f>
        <v/>
      </c>
      <c r="D143" s="72" t="str">
        <f>IF(A143&lt;&gt;"",VLOOKUP(A143,'EDC - PRODUCTION'!$A$7:$I$49,4,FALSE),"")</f>
        <v/>
      </c>
      <c r="E143" s="44"/>
      <c r="F143" s="45" t="str">
        <f t="shared" si="8"/>
        <v/>
      </c>
      <c r="G143" s="56" t="str">
        <f t="shared" si="9"/>
        <v/>
      </c>
      <c r="H143" s="73"/>
      <c r="I143" s="73"/>
      <c r="J143" s="112" t="str">
        <f t="shared" si="10"/>
        <v/>
      </c>
      <c r="K143" s="68"/>
    </row>
    <row r="144" spans="1:11" x14ac:dyDescent="0.2">
      <c r="A144" s="108"/>
      <c r="B144" s="72" t="str">
        <f>IF(A144&lt;&gt;"",'EDC - PARAMETRAGE'!$A$3,"")</f>
        <v/>
      </c>
      <c r="C144" s="72" t="str">
        <f>IF(A144&lt;&gt;"",VLOOKUP(A144,'EDC - PRODUCTION'!$A$7:$E$49,5,FALSE),"")</f>
        <v/>
      </c>
      <c r="D144" s="72" t="str">
        <f>IF(A144&lt;&gt;"",VLOOKUP(A144,'EDC - PRODUCTION'!$A$7:$I$49,4,FALSE),"")</f>
        <v/>
      </c>
      <c r="E144" s="44"/>
      <c r="F144" s="45" t="str">
        <f t="shared" si="8"/>
        <v/>
      </c>
      <c r="G144" s="56" t="str">
        <f t="shared" si="9"/>
        <v/>
      </c>
      <c r="H144" s="73"/>
      <c r="I144" s="73"/>
      <c r="J144" s="112" t="str">
        <f t="shared" si="10"/>
        <v/>
      </c>
      <c r="K144" s="68"/>
    </row>
    <row r="145" spans="1:11" x14ac:dyDescent="0.2">
      <c r="A145" s="108"/>
      <c r="B145" s="72" t="str">
        <f>IF(A145&lt;&gt;"",'EDC - PARAMETRAGE'!$A$3,"")</f>
        <v/>
      </c>
      <c r="C145" s="72" t="str">
        <f>IF(A145&lt;&gt;"",VLOOKUP(A145,'EDC - PRODUCTION'!$A$7:$E$49,5,FALSE),"")</f>
        <v/>
      </c>
      <c r="D145" s="72" t="str">
        <f>IF(A145&lt;&gt;"",VLOOKUP(A145,'EDC - PRODUCTION'!$A$7:$I$49,4,FALSE),"")</f>
        <v/>
      </c>
      <c r="E145" s="44"/>
      <c r="F145" s="45" t="str">
        <f t="shared" si="8"/>
        <v/>
      </c>
      <c r="G145" s="56" t="str">
        <f t="shared" si="9"/>
        <v/>
      </c>
      <c r="H145" s="73"/>
      <c r="I145" s="73"/>
      <c r="J145" s="112" t="str">
        <f t="shared" si="10"/>
        <v/>
      </c>
      <c r="K145" s="68"/>
    </row>
    <row r="146" spans="1:11" x14ac:dyDescent="0.2">
      <c r="A146" s="108"/>
      <c r="B146" s="72" t="str">
        <f>IF(A146&lt;&gt;"",'EDC - PARAMETRAGE'!$A$3,"")</f>
        <v/>
      </c>
      <c r="C146" s="72" t="str">
        <f>IF(A146&lt;&gt;"",VLOOKUP(A146,'EDC - PRODUCTION'!$A$7:$E$49,5,FALSE),"")</f>
        <v/>
      </c>
      <c r="D146" s="72" t="str">
        <f>IF(A146&lt;&gt;"",VLOOKUP(A146,'EDC - PRODUCTION'!$A$7:$I$49,4,FALSE),"")</f>
        <v/>
      </c>
      <c r="E146" s="44"/>
      <c r="F146" s="45" t="str">
        <f t="shared" si="8"/>
        <v/>
      </c>
      <c r="G146" s="56" t="str">
        <f t="shared" si="9"/>
        <v/>
      </c>
      <c r="H146" s="73"/>
      <c r="I146" s="73"/>
      <c r="J146" s="112" t="str">
        <f t="shared" si="10"/>
        <v/>
      </c>
      <c r="K146" s="68"/>
    </row>
    <row r="147" spans="1:11" x14ac:dyDescent="0.2">
      <c r="A147" s="108"/>
      <c r="B147" s="72" t="str">
        <f>IF(A147&lt;&gt;"",'EDC - PARAMETRAGE'!$A$3,"")</f>
        <v/>
      </c>
      <c r="C147" s="72" t="str">
        <f>IF(A147&lt;&gt;"",VLOOKUP(A147,'EDC - PRODUCTION'!$A$7:$E$49,5,FALSE),"")</f>
        <v/>
      </c>
      <c r="D147" s="72" t="str">
        <f>IF(A147&lt;&gt;"",VLOOKUP(A147,'EDC - PRODUCTION'!$A$7:$I$49,4,FALSE),"")</f>
        <v/>
      </c>
      <c r="E147" s="44"/>
      <c r="F147" s="45" t="str">
        <f t="shared" si="8"/>
        <v/>
      </c>
      <c r="G147" s="56" t="str">
        <f t="shared" si="9"/>
        <v/>
      </c>
      <c r="H147" s="73"/>
      <c r="I147" s="73"/>
      <c r="J147" s="112" t="str">
        <f t="shared" si="10"/>
        <v/>
      </c>
      <c r="K147" s="68"/>
    </row>
    <row r="148" spans="1:11" x14ac:dyDescent="0.2">
      <c r="A148" s="108"/>
      <c r="B148" s="72" t="str">
        <f>IF(A148&lt;&gt;"",'EDC - PARAMETRAGE'!$A$3,"")</f>
        <v/>
      </c>
      <c r="C148" s="72" t="str">
        <f>IF(A148&lt;&gt;"",VLOOKUP(A148,'EDC - PRODUCTION'!$A$7:$E$49,5,FALSE),"")</f>
        <v/>
      </c>
      <c r="D148" s="72" t="str">
        <f>IF(A148&lt;&gt;"",VLOOKUP(A148,'EDC - PRODUCTION'!$A$7:$I$49,4,FALSE),"")</f>
        <v/>
      </c>
      <c r="E148" s="44"/>
      <c r="F148" s="45" t="str">
        <f t="shared" si="8"/>
        <v/>
      </c>
      <c r="G148" s="56" t="str">
        <f t="shared" si="9"/>
        <v/>
      </c>
      <c r="H148" s="73"/>
      <c r="I148" s="73"/>
      <c r="J148" s="112" t="str">
        <f t="shared" si="10"/>
        <v/>
      </c>
      <c r="K148" s="68"/>
    </row>
    <row r="149" spans="1:11" x14ac:dyDescent="0.2">
      <c r="A149" s="108"/>
      <c r="B149" s="72" t="str">
        <f>IF(A149&lt;&gt;"",'EDC - PARAMETRAGE'!$A$3,"")</f>
        <v/>
      </c>
      <c r="C149" s="72" t="str">
        <f>IF(A149&lt;&gt;"",VLOOKUP(A149,'EDC - PRODUCTION'!$A$7:$E$49,5,FALSE),"")</f>
        <v/>
      </c>
      <c r="D149" s="72" t="str">
        <f>IF(A149&lt;&gt;"",VLOOKUP(A149,'EDC - PRODUCTION'!$A$7:$I$49,4,FALSE),"")</f>
        <v/>
      </c>
      <c r="E149" s="44"/>
      <c r="F149" s="45" t="str">
        <f t="shared" si="8"/>
        <v/>
      </c>
      <c r="G149" s="56" t="str">
        <f t="shared" si="9"/>
        <v/>
      </c>
      <c r="H149" s="73"/>
      <c r="I149" s="73"/>
      <c r="J149" s="112" t="str">
        <f t="shared" si="10"/>
        <v/>
      </c>
      <c r="K149" s="68"/>
    </row>
    <row r="150" spans="1:11" x14ac:dyDescent="0.2">
      <c r="A150" s="108"/>
      <c r="B150" s="72" t="str">
        <f>IF(A150&lt;&gt;"",'EDC - PARAMETRAGE'!$A$3,"")</f>
        <v/>
      </c>
      <c r="C150" s="72" t="str">
        <f>IF(A150&lt;&gt;"",VLOOKUP(A150,'EDC - PRODUCTION'!$A$7:$E$49,5,FALSE),"")</f>
        <v/>
      </c>
      <c r="D150" s="72" t="str">
        <f>IF(A150&lt;&gt;"",VLOOKUP(A150,'EDC - PRODUCTION'!$A$7:$I$49,4,FALSE),"")</f>
        <v/>
      </c>
      <c r="E150" s="44"/>
      <c r="F150" s="45" t="str">
        <f t="shared" si="8"/>
        <v/>
      </c>
      <c r="G150" s="56" t="str">
        <f t="shared" si="9"/>
        <v/>
      </c>
      <c r="H150" s="73"/>
      <c r="I150" s="73"/>
      <c r="J150" s="112" t="str">
        <f t="shared" si="10"/>
        <v/>
      </c>
      <c r="K150" s="68"/>
    </row>
    <row r="151" spans="1:11" x14ac:dyDescent="0.2">
      <c r="A151" s="108"/>
      <c r="B151" s="72" t="str">
        <f>IF(A151&lt;&gt;"",'EDC - PARAMETRAGE'!$A$3,"")</f>
        <v/>
      </c>
      <c r="C151" s="72" t="str">
        <f>IF(A151&lt;&gt;"",VLOOKUP(A151,'EDC - PRODUCTION'!$A$7:$E$49,5,FALSE),"")</f>
        <v/>
      </c>
      <c r="D151" s="72" t="str">
        <f>IF(A151&lt;&gt;"",VLOOKUP(A151,'EDC - PRODUCTION'!$A$7:$I$49,4,FALSE),"")</f>
        <v/>
      </c>
      <c r="E151" s="44"/>
      <c r="F151" s="45" t="str">
        <f t="shared" si="8"/>
        <v/>
      </c>
      <c r="G151" s="56" t="str">
        <f t="shared" si="9"/>
        <v/>
      </c>
      <c r="H151" s="73"/>
      <c r="I151" s="73"/>
      <c r="J151" s="112" t="str">
        <f t="shared" si="10"/>
        <v/>
      </c>
      <c r="K151" s="68"/>
    </row>
    <row r="152" spans="1:11" x14ac:dyDescent="0.2">
      <c r="A152" s="108"/>
      <c r="B152" s="72" t="str">
        <f>IF(A152&lt;&gt;"",'EDC - PARAMETRAGE'!$A$3,"")</f>
        <v/>
      </c>
      <c r="C152" s="72" t="str">
        <f>IF(A152&lt;&gt;"",VLOOKUP(A152,'EDC - PRODUCTION'!$A$7:$E$49,5,FALSE),"")</f>
        <v/>
      </c>
      <c r="D152" s="72" t="str">
        <f>IF(A152&lt;&gt;"",VLOOKUP(A152,'EDC - PRODUCTION'!$A$7:$I$49,4,FALSE),"")</f>
        <v/>
      </c>
      <c r="E152" s="44"/>
      <c r="F152" s="45" t="str">
        <f t="shared" si="8"/>
        <v/>
      </c>
      <c r="G152" s="56" t="str">
        <f t="shared" si="9"/>
        <v/>
      </c>
      <c r="H152" s="73"/>
      <c r="I152" s="73"/>
      <c r="J152" s="112" t="str">
        <f t="shared" si="10"/>
        <v/>
      </c>
      <c r="K152" s="68"/>
    </row>
    <row r="153" spans="1:11" x14ac:dyDescent="0.2">
      <c r="A153" s="108"/>
      <c r="B153" s="72" t="str">
        <f>IF(A153&lt;&gt;"",'EDC - PARAMETRAGE'!$A$3,"")</f>
        <v/>
      </c>
      <c r="C153" s="72" t="str">
        <f>IF(A153&lt;&gt;"",VLOOKUP(A153,'EDC - PRODUCTION'!$A$7:$E$49,5,FALSE),"")</f>
        <v/>
      </c>
      <c r="D153" s="72" t="str">
        <f>IF(A153&lt;&gt;"",VLOOKUP(A153,'EDC - PRODUCTION'!$A$7:$I$49,4,FALSE),"")</f>
        <v/>
      </c>
      <c r="E153" s="44"/>
      <c r="F153" s="45" t="str">
        <f t="shared" si="8"/>
        <v/>
      </c>
      <c r="G153" s="56" t="str">
        <f t="shared" si="9"/>
        <v/>
      </c>
      <c r="H153" s="73"/>
      <c r="I153" s="73"/>
      <c r="J153" s="112" t="str">
        <f t="shared" si="10"/>
        <v/>
      </c>
      <c r="K153" s="68"/>
    </row>
    <row r="154" spans="1:11" x14ac:dyDescent="0.2">
      <c r="A154" s="108"/>
      <c r="B154" s="72" t="str">
        <f>IF(A154&lt;&gt;"",'EDC - PARAMETRAGE'!$A$3,"")</f>
        <v/>
      </c>
      <c r="C154" s="72" t="str">
        <f>IF(A154&lt;&gt;"",VLOOKUP(A154,'EDC - PRODUCTION'!$A$7:$E$49,5,FALSE),"")</f>
        <v/>
      </c>
      <c r="D154" s="72" t="str">
        <f>IF(A154&lt;&gt;"",VLOOKUP(A154,'EDC - PRODUCTION'!$A$7:$I$49,4,FALSE),"")</f>
        <v/>
      </c>
      <c r="E154" s="44"/>
      <c r="F154" s="45" t="str">
        <f t="shared" si="8"/>
        <v/>
      </c>
      <c r="G154" s="56" t="str">
        <f t="shared" si="9"/>
        <v/>
      </c>
      <c r="H154" s="73"/>
      <c r="I154" s="73"/>
      <c r="J154" s="112" t="str">
        <f t="shared" si="10"/>
        <v/>
      </c>
      <c r="K154" s="68"/>
    </row>
    <row r="155" spans="1:11" x14ac:dyDescent="0.2">
      <c r="A155" s="108"/>
      <c r="B155" s="72" t="str">
        <f>IF(A155&lt;&gt;"",'EDC - PARAMETRAGE'!$A$3,"")</f>
        <v/>
      </c>
      <c r="C155" s="72" t="str">
        <f>IF(A155&lt;&gt;"",VLOOKUP(A155,'EDC - PRODUCTION'!$A$7:$E$49,5,FALSE),"")</f>
        <v/>
      </c>
      <c r="D155" s="72" t="str">
        <f>IF(A155&lt;&gt;"",VLOOKUP(A155,'EDC - PRODUCTION'!$A$7:$I$49,4,FALSE),"")</f>
        <v/>
      </c>
      <c r="E155" s="44"/>
      <c r="F155" s="45" t="str">
        <f t="shared" si="8"/>
        <v/>
      </c>
      <c r="G155" s="56" t="str">
        <f t="shared" si="9"/>
        <v/>
      </c>
      <c r="H155" s="73"/>
      <c r="I155" s="73"/>
      <c r="J155" s="112" t="str">
        <f t="shared" si="10"/>
        <v/>
      </c>
      <c r="K155" s="68"/>
    </row>
    <row r="156" spans="1:11" x14ac:dyDescent="0.2">
      <c r="A156" s="108"/>
      <c r="B156" s="72" t="str">
        <f>IF(A156&lt;&gt;"",'EDC - PARAMETRAGE'!$A$3,"")</f>
        <v/>
      </c>
      <c r="C156" s="72" t="str">
        <f>IF(A156&lt;&gt;"",VLOOKUP(A156,'EDC - PRODUCTION'!$A$7:$E$49,5,FALSE),"")</f>
        <v/>
      </c>
      <c r="D156" s="72" t="str">
        <f>IF(A156&lt;&gt;"",VLOOKUP(A156,'EDC - PRODUCTION'!$A$7:$I$49,4,FALSE),"")</f>
        <v/>
      </c>
      <c r="E156" s="44"/>
      <c r="F156" s="45" t="str">
        <f t="shared" si="8"/>
        <v/>
      </c>
      <c r="G156" s="56" t="str">
        <f t="shared" si="9"/>
        <v/>
      </c>
      <c r="H156" s="73"/>
      <c r="I156" s="73"/>
      <c r="J156" s="112" t="str">
        <f t="shared" si="10"/>
        <v/>
      </c>
      <c r="K156" s="68"/>
    </row>
    <row r="157" spans="1:11" x14ac:dyDescent="0.2">
      <c r="A157" s="108"/>
      <c r="B157" s="72" t="str">
        <f>IF(A157&lt;&gt;"",'EDC - PARAMETRAGE'!$A$3,"")</f>
        <v/>
      </c>
      <c r="C157" s="72" t="str">
        <f>IF(A157&lt;&gt;"",VLOOKUP(A157,'EDC - PRODUCTION'!$A$7:$E$49,5,FALSE),"")</f>
        <v/>
      </c>
      <c r="D157" s="72" t="str">
        <f>IF(A157&lt;&gt;"",VLOOKUP(A157,'EDC - PRODUCTION'!$A$7:$I$49,4,FALSE),"")</f>
        <v/>
      </c>
      <c r="E157" s="44"/>
      <c r="F157" s="45" t="str">
        <f t="shared" si="8"/>
        <v/>
      </c>
      <c r="G157" s="56" t="str">
        <f t="shared" si="9"/>
        <v/>
      </c>
      <c r="H157" s="73"/>
      <c r="I157" s="73"/>
      <c r="J157" s="112" t="str">
        <f t="shared" si="10"/>
        <v/>
      </c>
      <c r="K157" s="68"/>
    </row>
    <row r="158" spans="1:11" x14ac:dyDescent="0.2">
      <c r="A158" s="108"/>
      <c r="B158" s="72" t="str">
        <f>IF(A158&lt;&gt;"",'EDC - PARAMETRAGE'!$A$3,"")</f>
        <v/>
      </c>
      <c r="C158" s="72" t="str">
        <f>IF(A158&lt;&gt;"",VLOOKUP(A158,'EDC - PRODUCTION'!$A$7:$E$49,5,FALSE),"")</f>
        <v/>
      </c>
      <c r="D158" s="72" t="str">
        <f>IF(A158&lt;&gt;"",VLOOKUP(A158,'EDC - PRODUCTION'!$A$7:$I$49,4,FALSE),"")</f>
        <v/>
      </c>
      <c r="E158" s="44"/>
      <c r="F158" s="45" t="str">
        <f t="shared" si="8"/>
        <v/>
      </c>
      <c r="G158" s="56" t="str">
        <f t="shared" si="9"/>
        <v/>
      </c>
      <c r="H158" s="73"/>
      <c r="I158" s="73"/>
      <c r="J158" s="112" t="str">
        <f t="shared" si="10"/>
        <v/>
      </c>
      <c r="K158" s="68"/>
    </row>
    <row r="159" spans="1:11" x14ac:dyDescent="0.2">
      <c r="A159" s="108"/>
      <c r="B159" s="72" t="str">
        <f>IF(A159&lt;&gt;"",'EDC - PARAMETRAGE'!$A$3,"")</f>
        <v/>
      </c>
      <c r="C159" s="72" t="str">
        <f>IF(A159&lt;&gt;"",VLOOKUP(A159,'EDC - PRODUCTION'!$A$7:$E$49,5,FALSE),"")</f>
        <v/>
      </c>
      <c r="D159" s="72" t="str">
        <f>IF(A159&lt;&gt;"",VLOOKUP(A159,'EDC - PRODUCTION'!$A$7:$I$49,4,FALSE),"")</f>
        <v/>
      </c>
      <c r="E159" s="44"/>
      <c r="F159" s="45" t="str">
        <f t="shared" si="8"/>
        <v/>
      </c>
      <c r="G159" s="56" t="str">
        <f t="shared" si="9"/>
        <v/>
      </c>
      <c r="H159" s="73"/>
      <c r="I159" s="73"/>
      <c r="J159" s="112" t="str">
        <f t="shared" si="10"/>
        <v/>
      </c>
      <c r="K159" s="68"/>
    </row>
    <row r="160" spans="1:11" x14ac:dyDescent="0.2">
      <c r="A160" s="108"/>
      <c r="B160" s="72" t="str">
        <f>IF(A160&lt;&gt;"",'EDC - PARAMETRAGE'!$A$3,"")</f>
        <v/>
      </c>
      <c r="C160" s="72" t="str">
        <f>IF(A160&lt;&gt;"",VLOOKUP(A160,'EDC - PRODUCTION'!$A$7:$E$49,5,FALSE),"")</f>
        <v/>
      </c>
      <c r="D160" s="72" t="str">
        <f>IF(A160&lt;&gt;"",VLOOKUP(A160,'EDC - PRODUCTION'!$A$7:$I$49,4,FALSE),"")</f>
        <v/>
      </c>
      <c r="E160" s="44"/>
      <c r="F160" s="45" t="str">
        <f t="shared" si="8"/>
        <v/>
      </c>
      <c r="G160" s="56" t="str">
        <f t="shared" si="9"/>
        <v/>
      </c>
      <c r="H160" s="73"/>
      <c r="I160" s="73"/>
      <c r="J160" s="112" t="str">
        <f t="shared" si="10"/>
        <v/>
      </c>
      <c r="K160" s="68"/>
    </row>
    <row r="161" spans="1:11" x14ac:dyDescent="0.2">
      <c r="A161" s="108"/>
      <c r="B161" s="72" t="str">
        <f>IF(A161&lt;&gt;"",'EDC - PARAMETRAGE'!$A$3,"")</f>
        <v/>
      </c>
      <c r="C161" s="72" t="str">
        <f>IF(A161&lt;&gt;"",VLOOKUP(A161,'EDC - PRODUCTION'!$A$7:$E$49,5,FALSE),"")</f>
        <v/>
      </c>
      <c r="D161" s="72" t="str">
        <f>IF(A161&lt;&gt;"",VLOOKUP(A161,'EDC - PRODUCTION'!$A$7:$I$49,4,FALSE),"")</f>
        <v/>
      </c>
      <c r="E161" s="44"/>
      <c r="F161" s="45" t="str">
        <f t="shared" si="8"/>
        <v/>
      </c>
      <c r="G161" s="56" t="str">
        <f t="shared" si="9"/>
        <v/>
      </c>
      <c r="H161" s="73"/>
      <c r="I161" s="73"/>
      <c r="J161" s="112" t="str">
        <f t="shared" si="10"/>
        <v/>
      </c>
      <c r="K161" s="68"/>
    </row>
    <row r="162" spans="1:11" x14ac:dyDescent="0.2">
      <c r="A162" s="108"/>
      <c r="B162" s="72" t="str">
        <f>IF(A162&lt;&gt;"",'EDC - PARAMETRAGE'!$A$3,"")</f>
        <v/>
      </c>
      <c r="C162" s="72" t="str">
        <f>IF(A162&lt;&gt;"",VLOOKUP(A162,'EDC - PRODUCTION'!$A$7:$E$49,5,FALSE),"")</f>
        <v/>
      </c>
      <c r="D162" s="72" t="str">
        <f>IF(A162&lt;&gt;"",VLOOKUP(A162,'EDC - PRODUCTION'!$A$7:$I$49,4,FALSE),"")</f>
        <v/>
      </c>
      <c r="E162" s="44"/>
      <c r="F162" s="45" t="str">
        <f t="shared" si="8"/>
        <v/>
      </c>
      <c r="G162" s="56" t="str">
        <f t="shared" si="9"/>
        <v/>
      </c>
      <c r="H162" s="73"/>
      <c r="I162" s="73"/>
      <c r="J162" s="112" t="str">
        <f t="shared" si="10"/>
        <v/>
      </c>
      <c r="K162" s="68"/>
    </row>
    <row r="163" spans="1:11" x14ac:dyDescent="0.2">
      <c r="A163" s="108"/>
      <c r="B163" s="72" t="str">
        <f>IF(A163&lt;&gt;"",'EDC - PARAMETRAGE'!$A$3,"")</f>
        <v/>
      </c>
      <c r="C163" s="72" t="str">
        <f>IF(A163&lt;&gt;"",VLOOKUP(A163,'EDC - PRODUCTION'!$A$7:$E$49,5,FALSE),"")</f>
        <v/>
      </c>
      <c r="D163" s="72" t="str">
        <f>IF(A163&lt;&gt;"",VLOOKUP(A163,'EDC - PRODUCTION'!$A$7:$I$49,4,FALSE),"")</f>
        <v/>
      </c>
      <c r="E163" s="44"/>
      <c r="F163" s="45" t="str">
        <f t="shared" si="8"/>
        <v/>
      </c>
      <c r="G163" s="56" t="str">
        <f t="shared" si="9"/>
        <v/>
      </c>
      <c r="H163" s="73"/>
      <c r="I163" s="73"/>
      <c r="J163" s="112" t="str">
        <f t="shared" si="10"/>
        <v/>
      </c>
      <c r="K163" s="68"/>
    </row>
    <row r="164" spans="1:11" x14ac:dyDescent="0.2">
      <c r="A164" s="108"/>
      <c r="B164" s="72" t="str">
        <f>IF(A164&lt;&gt;"",'EDC - PARAMETRAGE'!$A$3,"")</f>
        <v/>
      </c>
      <c r="C164" s="72" t="str">
        <f>IF(A164&lt;&gt;"",VLOOKUP(A164,'EDC - PRODUCTION'!$A$7:$E$49,5,FALSE),"")</f>
        <v/>
      </c>
      <c r="D164" s="72" t="str">
        <f>IF(A164&lt;&gt;"",VLOOKUP(A164,'EDC - PRODUCTION'!$A$7:$I$49,4,FALSE),"")</f>
        <v/>
      </c>
      <c r="E164" s="44"/>
      <c r="F164" s="45" t="str">
        <f t="shared" si="8"/>
        <v/>
      </c>
      <c r="G164" s="56" t="str">
        <f t="shared" si="9"/>
        <v/>
      </c>
      <c r="H164" s="73"/>
      <c r="I164" s="73"/>
      <c r="J164" s="112" t="str">
        <f t="shared" si="10"/>
        <v/>
      </c>
      <c r="K164" s="68"/>
    </row>
    <row r="165" spans="1:11" x14ac:dyDescent="0.2">
      <c r="A165" s="108"/>
      <c r="B165" s="72" t="str">
        <f>IF(A165&lt;&gt;"",'EDC - PARAMETRAGE'!$A$3,"")</f>
        <v/>
      </c>
      <c r="C165" s="72" t="str">
        <f>IF(A165&lt;&gt;"",VLOOKUP(A165,'EDC - PRODUCTION'!$A$7:$E$49,5,FALSE),"")</f>
        <v/>
      </c>
      <c r="D165" s="72" t="str">
        <f>IF(A165&lt;&gt;"",VLOOKUP(A165,'EDC - PRODUCTION'!$A$7:$I$49,4,FALSE),"")</f>
        <v/>
      </c>
      <c r="E165" s="44"/>
      <c r="F165" s="45" t="str">
        <f t="shared" si="8"/>
        <v/>
      </c>
      <c r="G165" s="56" t="str">
        <f t="shared" si="9"/>
        <v/>
      </c>
      <c r="H165" s="73"/>
      <c r="I165" s="73"/>
      <c r="J165" s="112" t="str">
        <f t="shared" si="10"/>
        <v/>
      </c>
      <c r="K165" s="68"/>
    </row>
    <row r="166" spans="1:11" x14ac:dyDescent="0.2">
      <c r="A166" s="108"/>
      <c r="B166" s="72" t="str">
        <f>IF(A166&lt;&gt;"",'EDC - PARAMETRAGE'!$A$3,"")</f>
        <v/>
      </c>
      <c r="C166" s="72" t="str">
        <f>IF(A166&lt;&gt;"",VLOOKUP(A166,'EDC - PRODUCTION'!$A$7:$E$49,5,FALSE),"")</f>
        <v/>
      </c>
      <c r="D166" s="72" t="str">
        <f>IF(A166&lt;&gt;"",VLOOKUP(A166,'EDC - PRODUCTION'!$A$7:$I$49,4,FALSE),"")</f>
        <v/>
      </c>
      <c r="E166" s="44"/>
      <c r="F166" s="45" t="str">
        <f t="shared" si="8"/>
        <v/>
      </c>
      <c r="G166" s="56" t="str">
        <f t="shared" si="9"/>
        <v/>
      </c>
      <c r="H166" s="73"/>
      <c r="I166" s="73"/>
      <c r="J166" s="112" t="str">
        <f t="shared" si="10"/>
        <v/>
      </c>
      <c r="K166" s="68"/>
    </row>
    <row r="167" spans="1:11" x14ac:dyDescent="0.2">
      <c r="A167" s="108"/>
      <c r="B167" s="72" t="str">
        <f>IF(A167&lt;&gt;"",'EDC - PARAMETRAGE'!$A$3,"")</f>
        <v/>
      </c>
      <c r="C167" s="72" t="str">
        <f>IF(A167&lt;&gt;"",VLOOKUP(A167,'EDC - PRODUCTION'!$A$7:$E$49,5,FALSE),"")</f>
        <v/>
      </c>
      <c r="D167" s="72" t="str">
        <f>IF(A167&lt;&gt;"",VLOOKUP(A167,'EDC - PRODUCTION'!$A$7:$I$49,4,FALSE),"")</f>
        <v/>
      </c>
      <c r="E167" s="44"/>
      <c r="F167" s="45" t="str">
        <f t="shared" si="8"/>
        <v/>
      </c>
      <c r="G167" s="56" t="str">
        <f t="shared" si="9"/>
        <v/>
      </c>
      <c r="H167" s="73"/>
      <c r="I167" s="73"/>
      <c r="J167" s="112" t="str">
        <f t="shared" si="10"/>
        <v/>
      </c>
      <c r="K167" s="68"/>
    </row>
    <row r="168" spans="1:11" x14ac:dyDescent="0.2">
      <c r="A168" s="108"/>
      <c r="B168" s="72" t="str">
        <f>IF(A168&lt;&gt;"",'EDC - PARAMETRAGE'!$A$3,"")</f>
        <v/>
      </c>
      <c r="C168" s="72" t="str">
        <f>IF(A168&lt;&gt;"",VLOOKUP(A168,'EDC - PRODUCTION'!$A$7:$E$49,5,FALSE),"")</f>
        <v/>
      </c>
      <c r="D168" s="72" t="str">
        <f>IF(A168&lt;&gt;"",VLOOKUP(A168,'EDC - PRODUCTION'!$A$7:$I$49,4,FALSE),"")</f>
        <v/>
      </c>
      <c r="E168" s="44"/>
      <c r="F168" s="45" t="str">
        <f t="shared" si="8"/>
        <v/>
      </c>
      <c r="G168" s="56" t="str">
        <f t="shared" si="9"/>
        <v/>
      </c>
      <c r="H168" s="73"/>
      <c r="I168" s="73"/>
      <c r="J168" s="112" t="str">
        <f t="shared" si="10"/>
        <v/>
      </c>
      <c r="K168" s="68"/>
    </row>
    <row r="169" spans="1:11" x14ac:dyDescent="0.2">
      <c r="A169" s="108"/>
      <c r="B169" s="72" t="str">
        <f>IF(A169&lt;&gt;"",'EDC - PARAMETRAGE'!$A$3,"")</f>
        <v/>
      </c>
      <c r="C169" s="72" t="str">
        <f>IF(A169&lt;&gt;"",VLOOKUP(A169,'EDC - PRODUCTION'!$A$7:$E$49,5,FALSE),"")</f>
        <v/>
      </c>
      <c r="D169" s="72" t="str">
        <f>IF(A169&lt;&gt;"",VLOOKUP(A169,'EDC - PRODUCTION'!$A$7:$I$49,4,FALSE),"")</f>
        <v/>
      </c>
      <c r="E169" s="44"/>
      <c r="F169" s="45" t="str">
        <f t="shared" si="8"/>
        <v/>
      </c>
      <c r="G169" s="56" t="str">
        <f t="shared" si="9"/>
        <v/>
      </c>
      <c r="H169" s="73"/>
      <c r="I169" s="73"/>
      <c r="J169" s="112" t="str">
        <f t="shared" si="10"/>
        <v/>
      </c>
      <c r="K169" s="68"/>
    </row>
    <row r="170" spans="1:11" x14ac:dyDescent="0.2">
      <c r="A170" s="108"/>
      <c r="B170" s="72" t="str">
        <f>IF(A170&lt;&gt;"",'EDC - PARAMETRAGE'!$A$3,"")</f>
        <v/>
      </c>
      <c r="C170" s="72" t="str">
        <f>IF(A170&lt;&gt;"",VLOOKUP(A170,'EDC - PRODUCTION'!$A$7:$E$49,5,FALSE),"")</f>
        <v/>
      </c>
      <c r="D170" s="72" t="str">
        <f>IF(A170&lt;&gt;"",VLOOKUP(A170,'EDC - PRODUCTION'!$A$7:$I$49,4,FALSE),"")</f>
        <v/>
      </c>
      <c r="E170" s="44"/>
      <c r="F170" s="45" t="str">
        <f t="shared" si="8"/>
        <v/>
      </c>
      <c r="G170" s="56" t="str">
        <f t="shared" si="9"/>
        <v/>
      </c>
      <c r="H170" s="73"/>
      <c r="I170" s="73"/>
      <c r="J170" s="112" t="str">
        <f t="shared" si="10"/>
        <v/>
      </c>
      <c r="K170" s="68"/>
    </row>
    <row r="171" spans="1:11" x14ac:dyDescent="0.2">
      <c r="A171" s="108"/>
      <c r="B171" s="72" t="str">
        <f>IF(A171&lt;&gt;"",'EDC - PARAMETRAGE'!$A$3,"")</f>
        <v/>
      </c>
      <c r="C171" s="72" t="str">
        <f>IF(A171&lt;&gt;"",VLOOKUP(A171,'EDC - PRODUCTION'!$A$7:$E$49,5,FALSE),"")</f>
        <v/>
      </c>
      <c r="D171" s="72" t="str">
        <f>IF(A171&lt;&gt;"",VLOOKUP(A171,'EDC - PRODUCTION'!$A$7:$I$49,4,FALSE),"")</f>
        <v/>
      </c>
      <c r="E171" s="44"/>
      <c r="F171" s="45" t="str">
        <f t="shared" si="8"/>
        <v/>
      </c>
      <c r="G171" s="56" t="str">
        <f t="shared" si="9"/>
        <v/>
      </c>
      <c r="H171" s="73"/>
      <c r="I171" s="73"/>
      <c r="J171" s="112" t="str">
        <f t="shared" si="10"/>
        <v/>
      </c>
      <c r="K171" s="68"/>
    </row>
    <row r="172" spans="1:11" x14ac:dyDescent="0.2">
      <c r="A172" s="108"/>
      <c r="B172" s="72" t="str">
        <f>IF(A172&lt;&gt;"",'EDC - PARAMETRAGE'!$A$3,"")</f>
        <v/>
      </c>
      <c r="C172" s="72" t="str">
        <f>IF(A172&lt;&gt;"",VLOOKUP(A172,'EDC - PRODUCTION'!$A$7:$E$49,5,FALSE),"")</f>
        <v/>
      </c>
      <c r="D172" s="72" t="str">
        <f>IF(A172&lt;&gt;"",VLOOKUP(A172,'EDC - PRODUCTION'!$A$7:$I$49,4,FALSE),"")</f>
        <v/>
      </c>
      <c r="E172" s="44"/>
      <c r="F172" s="45" t="str">
        <f t="shared" si="8"/>
        <v/>
      </c>
      <c r="G172" s="56" t="str">
        <f t="shared" si="9"/>
        <v/>
      </c>
      <c r="H172" s="73"/>
      <c r="I172" s="73"/>
      <c r="J172" s="112" t="str">
        <f t="shared" si="10"/>
        <v/>
      </c>
      <c r="K172" s="68"/>
    </row>
    <row r="173" spans="1:11" x14ac:dyDescent="0.2">
      <c r="A173" s="108"/>
      <c r="B173" s="72" t="str">
        <f>IF(A173&lt;&gt;"",'EDC - PARAMETRAGE'!$A$3,"")</f>
        <v/>
      </c>
      <c r="C173" s="72" t="str">
        <f>IF(A173&lt;&gt;"",VLOOKUP(A173,'EDC - PRODUCTION'!$A$7:$E$49,5,FALSE),"")</f>
        <v/>
      </c>
      <c r="D173" s="72" t="str">
        <f>IF(A173&lt;&gt;"",VLOOKUP(A173,'EDC - PRODUCTION'!$A$7:$I$49,4,FALSE),"")</f>
        <v/>
      </c>
      <c r="E173" s="44"/>
      <c r="F173" s="45" t="str">
        <f t="shared" si="8"/>
        <v/>
      </c>
      <c r="G173" s="56" t="str">
        <f t="shared" si="9"/>
        <v/>
      </c>
      <c r="H173" s="73"/>
      <c r="I173" s="73"/>
      <c r="J173" s="112" t="str">
        <f t="shared" si="10"/>
        <v/>
      </c>
      <c r="K173" s="68"/>
    </row>
    <row r="174" spans="1:11" x14ac:dyDescent="0.2">
      <c r="A174" s="108"/>
      <c r="B174" s="72" t="str">
        <f>IF(A174&lt;&gt;"",'EDC - PARAMETRAGE'!$A$3,"")</f>
        <v/>
      </c>
      <c r="C174" s="72" t="str">
        <f>IF(A174&lt;&gt;"",VLOOKUP(A174,'EDC - PRODUCTION'!$A$7:$E$49,5,FALSE),"")</f>
        <v/>
      </c>
      <c r="D174" s="72" t="str">
        <f>IF(A174&lt;&gt;"",VLOOKUP(A174,'EDC - PRODUCTION'!$A$7:$I$49,4,FALSE),"")</f>
        <v/>
      </c>
      <c r="E174" s="44"/>
      <c r="F174" s="45" t="str">
        <f t="shared" si="8"/>
        <v/>
      </c>
      <c r="G174" s="56" t="str">
        <f t="shared" si="9"/>
        <v/>
      </c>
      <c r="H174" s="73"/>
      <c r="I174" s="73"/>
      <c r="J174" s="112" t="str">
        <f t="shared" si="10"/>
        <v/>
      </c>
      <c r="K174" s="68"/>
    </row>
    <row r="175" spans="1:11" x14ac:dyDescent="0.2">
      <c r="A175" s="108"/>
      <c r="B175" s="72" t="str">
        <f>IF(A175&lt;&gt;"",'EDC - PARAMETRAGE'!$A$3,"")</f>
        <v/>
      </c>
      <c r="C175" s="72" t="str">
        <f>IF(A175&lt;&gt;"",VLOOKUP(A175,'EDC - PRODUCTION'!$A$7:$E$49,5,FALSE),"")</f>
        <v/>
      </c>
      <c r="D175" s="72" t="str">
        <f>IF(A175&lt;&gt;"",VLOOKUP(A175,'EDC - PRODUCTION'!$A$7:$I$49,4,FALSE),"")</f>
        <v/>
      </c>
      <c r="E175" s="44"/>
      <c r="F175" s="45" t="str">
        <f t="shared" si="8"/>
        <v/>
      </c>
      <c r="G175" s="56" t="str">
        <f t="shared" si="9"/>
        <v/>
      </c>
      <c r="H175" s="73"/>
      <c r="I175" s="73"/>
      <c r="J175" s="112" t="str">
        <f t="shared" si="10"/>
        <v/>
      </c>
      <c r="K175" s="68"/>
    </row>
    <row r="176" spans="1:11" x14ac:dyDescent="0.2">
      <c r="A176" s="108"/>
      <c r="B176" s="72" t="str">
        <f>IF(A176&lt;&gt;"",'EDC - PARAMETRAGE'!$A$3,"")</f>
        <v/>
      </c>
      <c r="C176" s="72" t="str">
        <f>IF(A176&lt;&gt;"",VLOOKUP(A176,'EDC - PRODUCTION'!$A$7:$E$49,5,FALSE),"")</f>
        <v/>
      </c>
      <c r="D176" s="72" t="str">
        <f>IF(A176&lt;&gt;"",VLOOKUP(A176,'EDC - PRODUCTION'!$A$7:$I$49,4,FALSE),"")</f>
        <v/>
      </c>
      <c r="E176" s="44"/>
      <c r="F176" s="45" t="str">
        <f t="shared" si="8"/>
        <v/>
      </c>
      <c r="G176" s="56" t="str">
        <f t="shared" si="9"/>
        <v/>
      </c>
      <c r="H176" s="73"/>
      <c r="I176" s="73"/>
      <c r="J176" s="112" t="str">
        <f t="shared" si="10"/>
        <v/>
      </c>
      <c r="K176" s="68"/>
    </row>
    <row r="177" spans="1:11" x14ac:dyDescent="0.2">
      <c r="A177" s="108"/>
      <c r="B177" s="72" t="str">
        <f>IF(A177&lt;&gt;"",'EDC - PARAMETRAGE'!$A$3,"")</f>
        <v/>
      </c>
      <c r="C177" s="72" t="str">
        <f>IF(A177&lt;&gt;"",VLOOKUP(A177,'EDC - PRODUCTION'!$A$7:$E$49,5,FALSE),"")</f>
        <v/>
      </c>
      <c r="D177" s="72" t="str">
        <f>IF(A177&lt;&gt;"",VLOOKUP(A177,'EDC - PRODUCTION'!$A$7:$I$49,4,FALSE),"")</f>
        <v/>
      </c>
      <c r="E177" s="44"/>
      <c r="F177" s="45" t="str">
        <f t="shared" si="8"/>
        <v/>
      </c>
      <c r="G177" s="56" t="str">
        <f t="shared" si="9"/>
        <v/>
      </c>
      <c r="H177" s="73"/>
      <c r="I177" s="73"/>
      <c r="J177" s="112" t="str">
        <f t="shared" si="10"/>
        <v/>
      </c>
      <c r="K177" s="68"/>
    </row>
    <row r="178" spans="1:11" x14ac:dyDescent="0.2">
      <c r="A178" s="108"/>
      <c r="B178" s="72" t="str">
        <f>IF(A178&lt;&gt;"",'EDC - PARAMETRAGE'!$A$3,"")</f>
        <v/>
      </c>
      <c r="C178" s="72" t="str">
        <f>IF(A178&lt;&gt;"",VLOOKUP(A178,'EDC - PRODUCTION'!$A$7:$E$49,5,FALSE),"")</f>
        <v/>
      </c>
      <c r="D178" s="72" t="str">
        <f>IF(A178&lt;&gt;"",VLOOKUP(A178,'EDC - PRODUCTION'!$A$7:$I$49,4,FALSE),"")</f>
        <v/>
      </c>
      <c r="E178" s="44"/>
      <c r="F178" s="45" t="str">
        <f t="shared" si="8"/>
        <v/>
      </c>
      <c r="G178" s="56" t="str">
        <f t="shared" si="9"/>
        <v/>
      </c>
      <c r="H178" s="73"/>
      <c r="I178" s="73"/>
      <c r="J178" s="112" t="str">
        <f t="shared" si="10"/>
        <v/>
      </c>
      <c r="K178" s="68"/>
    </row>
    <row r="179" spans="1:11" x14ac:dyDescent="0.2">
      <c r="A179" s="108"/>
      <c r="B179" s="72" t="str">
        <f>IF(A179&lt;&gt;"",'EDC - PARAMETRAGE'!$A$3,"")</f>
        <v/>
      </c>
      <c r="C179" s="72" t="str">
        <f>IF(A179&lt;&gt;"",VLOOKUP(A179,'EDC - PRODUCTION'!$A$7:$E$49,5,FALSE),"")</f>
        <v/>
      </c>
      <c r="D179" s="72" t="str">
        <f>IF(A179&lt;&gt;"",VLOOKUP(A179,'EDC - PRODUCTION'!$A$7:$I$49,4,FALSE),"")</f>
        <v/>
      </c>
      <c r="E179" s="44"/>
      <c r="F179" s="45" t="str">
        <f t="shared" si="8"/>
        <v/>
      </c>
      <c r="G179" s="56" t="str">
        <f t="shared" si="9"/>
        <v/>
      </c>
      <c r="H179" s="73"/>
      <c r="I179" s="73"/>
      <c r="J179" s="112" t="str">
        <f t="shared" si="10"/>
        <v/>
      </c>
      <c r="K179" s="68"/>
    </row>
    <row r="180" spans="1:11" x14ac:dyDescent="0.2">
      <c r="A180" s="108"/>
      <c r="B180" s="72" t="str">
        <f>IF(A180&lt;&gt;"",'EDC - PARAMETRAGE'!$A$3,"")</f>
        <v/>
      </c>
      <c r="C180" s="72" t="str">
        <f>IF(A180&lt;&gt;"",VLOOKUP(A180,'EDC - PRODUCTION'!$A$7:$E$49,5,FALSE),"")</f>
        <v/>
      </c>
      <c r="D180" s="72" t="str">
        <f>IF(A180&lt;&gt;"",VLOOKUP(A180,'EDC - PRODUCTION'!$A$7:$I$49,4,FALSE),"")</f>
        <v/>
      </c>
      <c r="E180" s="44"/>
      <c r="F180" s="45" t="str">
        <f t="shared" si="8"/>
        <v/>
      </c>
      <c r="G180" s="56" t="str">
        <f t="shared" si="9"/>
        <v/>
      </c>
      <c r="H180" s="73"/>
      <c r="I180" s="73"/>
      <c r="J180" s="112" t="str">
        <f t="shared" si="10"/>
        <v/>
      </c>
      <c r="K180" s="68"/>
    </row>
    <row r="181" spans="1:11" x14ac:dyDescent="0.2">
      <c r="A181" s="108"/>
      <c r="B181" s="72" t="str">
        <f>IF(A181&lt;&gt;"",'EDC - PARAMETRAGE'!$A$3,"")</f>
        <v/>
      </c>
      <c r="C181" s="72" t="str">
        <f>IF(A181&lt;&gt;"",VLOOKUP(A181,'EDC - PRODUCTION'!$A$7:$E$49,5,FALSE),"")</f>
        <v/>
      </c>
      <c r="D181" s="72" t="str">
        <f>IF(A181&lt;&gt;"",VLOOKUP(A181,'EDC - PRODUCTION'!$A$7:$I$49,4,FALSE),"")</f>
        <v/>
      </c>
      <c r="E181" s="44"/>
      <c r="F181" s="45" t="str">
        <f t="shared" si="8"/>
        <v/>
      </c>
      <c r="G181" s="56" t="str">
        <f t="shared" si="9"/>
        <v/>
      </c>
      <c r="H181" s="73"/>
      <c r="I181" s="73"/>
      <c r="J181" s="112" t="str">
        <f t="shared" si="10"/>
        <v/>
      </c>
      <c r="K181" s="68"/>
    </row>
    <row r="182" spans="1:11" x14ac:dyDescent="0.2">
      <c r="A182" s="108"/>
      <c r="B182" s="72" t="str">
        <f>IF(A182&lt;&gt;"",'EDC - PARAMETRAGE'!$A$3,"")</f>
        <v/>
      </c>
      <c r="C182" s="72" t="str">
        <f>IF(A182&lt;&gt;"",VLOOKUP(A182,'EDC - PRODUCTION'!$A$7:$E$49,5,FALSE),"")</f>
        <v/>
      </c>
      <c r="D182" s="72" t="str">
        <f>IF(A182&lt;&gt;"",VLOOKUP(A182,'EDC - PRODUCTION'!$A$7:$I$49,4,FALSE),"")</f>
        <v/>
      </c>
      <c r="E182" s="44"/>
      <c r="F182" s="45" t="str">
        <f t="shared" si="8"/>
        <v/>
      </c>
      <c r="G182" s="56" t="str">
        <f t="shared" si="9"/>
        <v/>
      </c>
      <c r="H182" s="73"/>
      <c r="I182" s="73"/>
      <c r="J182" s="112" t="str">
        <f t="shared" si="10"/>
        <v/>
      </c>
      <c r="K182" s="68"/>
    </row>
    <row r="183" spans="1:11" x14ac:dyDescent="0.2">
      <c r="A183" s="108"/>
      <c r="B183" s="72" t="str">
        <f>IF(A183&lt;&gt;"",'EDC - PARAMETRAGE'!$A$3,"")</f>
        <v/>
      </c>
      <c r="C183" s="72" t="str">
        <f>IF(A183&lt;&gt;"",VLOOKUP(A183,'EDC - PRODUCTION'!$A$7:$E$49,5,FALSE),"")</f>
        <v/>
      </c>
      <c r="D183" s="72" t="str">
        <f>IF(A183&lt;&gt;"",VLOOKUP(A183,'EDC - PRODUCTION'!$A$7:$I$49,4,FALSE),"")</f>
        <v/>
      </c>
      <c r="E183" s="44"/>
      <c r="F183" s="45" t="str">
        <f t="shared" si="8"/>
        <v/>
      </c>
      <c r="G183" s="56" t="str">
        <f t="shared" si="9"/>
        <v/>
      </c>
      <c r="H183" s="73"/>
      <c r="I183" s="73"/>
      <c r="J183" s="112" t="str">
        <f t="shared" si="10"/>
        <v/>
      </c>
      <c r="K183" s="68"/>
    </row>
    <row r="184" spans="1:11" x14ac:dyDescent="0.2">
      <c r="A184" s="108"/>
      <c r="B184" s="72" t="str">
        <f>IF(A184&lt;&gt;"",'EDC - PARAMETRAGE'!$A$3,"")</f>
        <v/>
      </c>
      <c r="C184" s="72" t="str">
        <f>IF(A184&lt;&gt;"",VLOOKUP(A184,'EDC - PRODUCTION'!$A$7:$E$49,5,FALSE),"")</f>
        <v/>
      </c>
      <c r="D184" s="72" t="str">
        <f>IF(A184&lt;&gt;"",VLOOKUP(A184,'EDC - PRODUCTION'!$A$7:$I$49,4,FALSE),"")</f>
        <v/>
      </c>
      <c r="E184" s="44"/>
      <c r="F184" s="45" t="str">
        <f t="shared" si="8"/>
        <v/>
      </c>
      <c r="G184" s="56" t="str">
        <f t="shared" si="9"/>
        <v/>
      </c>
      <c r="H184" s="73"/>
      <c r="I184" s="73"/>
      <c r="J184" s="112" t="str">
        <f t="shared" si="10"/>
        <v/>
      </c>
      <c r="K184" s="68"/>
    </row>
    <row r="185" spans="1:11" x14ac:dyDescent="0.2">
      <c r="A185" s="108"/>
      <c r="B185" s="72" t="str">
        <f>IF(A185&lt;&gt;"",'EDC - PARAMETRAGE'!$A$3,"")</f>
        <v/>
      </c>
      <c r="C185" s="72" t="str">
        <f>IF(A185&lt;&gt;"",VLOOKUP(A185,'EDC - PRODUCTION'!$A$7:$E$49,5,FALSE),"")</f>
        <v/>
      </c>
      <c r="D185" s="72" t="str">
        <f>IF(A185&lt;&gt;"",VLOOKUP(A185,'EDC - PRODUCTION'!$A$7:$I$49,4,FALSE),"")</f>
        <v/>
      </c>
      <c r="E185" s="44"/>
      <c r="F185" s="45" t="str">
        <f t="shared" si="8"/>
        <v/>
      </c>
      <c r="G185" s="56" t="str">
        <f t="shared" si="9"/>
        <v/>
      </c>
      <c r="H185" s="73"/>
      <c r="I185" s="73"/>
      <c r="J185" s="112" t="str">
        <f t="shared" si="10"/>
        <v/>
      </c>
      <c r="K185" s="68"/>
    </row>
    <row r="186" spans="1:11" x14ac:dyDescent="0.2">
      <c r="A186" s="108"/>
      <c r="B186" s="72" t="str">
        <f>IF(A186&lt;&gt;"",'EDC - PARAMETRAGE'!$A$3,"")</f>
        <v/>
      </c>
      <c r="C186" s="72" t="str">
        <f>IF(A186&lt;&gt;"",VLOOKUP(A186,'EDC - PRODUCTION'!$A$7:$E$49,5,FALSE),"")</f>
        <v/>
      </c>
      <c r="D186" s="72" t="str">
        <f>IF(A186&lt;&gt;"",VLOOKUP(A186,'EDC - PRODUCTION'!$A$7:$I$49,4,FALSE),"")</f>
        <v/>
      </c>
      <c r="E186" s="44"/>
      <c r="F186" s="45" t="str">
        <f t="shared" si="8"/>
        <v/>
      </c>
      <c r="G186" s="56" t="str">
        <f t="shared" si="9"/>
        <v/>
      </c>
      <c r="H186" s="73"/>
      <c r="I186" s="73"/>
      <c r="J186" s="112" t="str">
        <f t="shared" si="10"/>
        <v/>
      </c>
      <c r="K186" s="68"/>
    </row>
    <row r="187" spans="1:11" x14ac:dyDescent="0.2">
      <c r="A187" s="108"/>
      <c r="B187" s="72" t="str">
        <f>IF(A187&lt;&gt;"",'EDC - PARAMETRAGE'!$A$3,"")</f>
        <v/>
      </c>
      <c r="C187" s="72" t="str">
        <f>IF(A187&lt;&gt;"",VLOOKUP(A187,'EDC - PRODUCTION'!$A$7:$E$49,5,FALSE),"")</f>
        <v/>
      </c>
      <c r="D187" s="72" t="str">
        <f>IF(A187&lt;&gt;"",VLOOKUP(A187,'EDC - PRODUCTION'!$A$7:$I$49,4,FALSE),"")</f>
        <v/>
      </c>
      <c r="E187" s="44"/>
      <c r="F187" s="45" t="str">
        <f t="shared" si="8"/>
        <v/>
      </c>
      <c r="G187" s="56" t="str">
        <f t="shared" si="9"/>
        <v/>
      </c>
      <c r="H187" s="73"/>
      <c r="I187" s="73"/>
      <c r="J187" s="112" t="str">
        <f t="shared" si="10"/>
        <v/>
      </c>
      <c r="K187" s="68"/>
    </row>
    <row r="188" spans="1:11" x14ac:dyDescent="0.2">
      <c r="A188" s="108"/>
      <c r="B188" s="72" t="str">
        <f>IF(A188&lt;&gt;"",'EDC - PARAMETRAGE'!$A$3,"")</f>
        <v/>
      </c>
      <c r="C188" s="72" t="str">
        <f>IF(A188&lt;&gt;"",VLOOKUP(A188,'EDC - PRODUCTION'!$A$7:$E$49,5,FALSE),"")</f>
        <v/>
      </c>
      <c r="D188" s="72" t="str">
        <f>IF(A188&lt;&gt;"",VLOOKUP(A188,'EDC - PRODUCTION'!$A$7:$I$49,4,FALSE),"")</f>
        <v/>
      </c>
      <c r="E188" s="44"/>
      <c r="F188" s="45" t="str">
        <f t="shared" si="8"/>
        <v/>
      </c>
      <c r="G188" s="56" t="str">
        <f t="shared" si="9"/>
        <v/>
      </c>
      <c r="H188" s="73"/>
      <c r="I188" s="73"/>
      <c r="J188" s="112" t="str">
        <f t="shared" si="10"/>
        <v/>
      </c>
      <c r="K188" s="68"/>
    </row>
    <row r="189" spans="1:11" x14ac:dyDescent="0.2">
      <c r="A189" s="108"/>
      <c r="B189" s="72" t="str">
        <f>IF(A189&lt;&gt;"",'EDC - PARAMETRAGE'!$A$3,"")</f>
        <v/>
      </c>
      <c r="C189" s="72" t="str">
        <f>IF(A189&lt;&gt;"",VLOOKUP(A189,'EDC - PRODUCTION'!$A$7:$E$49,5,FALSE),"")</f>
        <v/>
      </c>
      <c r="D189" s="72" t="str">
        <f>IF(A189&lt;&gt;"",VLOOKUP(A189,'EDC - PRODUCTION'!$A$7:$I$49,4,FALSE),"")</f>
        <v/>
      </c>
      <c r="E189" s="44"/>
      <c r="F189" s="45" t="str">
        <f t="shared" si="8"/>
        <v/>
      </c>
      <c r="G189" s="56" t="str">
        <f t="shared" si="9"/>
        <v/>
      </c>
      <c r="H189" s="73"/>
      <c r="I189" s="73"/>
      <c r="J189" s="112" t="str">
        <f t="shared" si="10"/>
        <v/>
      </c>
      <c r="K189" s="68"/>
    </row>
    <row r="190" spans="1:11" x14ac:dyDescent="0.2">
      <c r="A190" s="108"/>
      <c r="B190" s="72" t="str">
        <f>IF(A190&lt;&gt;"",'EDC - PARAMETRAGE'!$A$3,"")</f>
        <v/>
      </c>
      <c r="C190" s="72" t="str">
        <f>IF(A190&lt;&gt;"",VLOOKUP(A190,'EDC - PRODUCTION'!$A$7:$E$49,5,FALSE),"")</f>
        <v/>
      </c>
      <c r="D190" s="72" t="str">
        <f>IF(A190&lt;&gt;"",VLOOKUP(A190,'EDC - PRODUCTION'!$A$7:$I$49,4,FALSE),"")</f>
        <v/>
      </c>
      <c r="E190" s="44"/>
      <c r="F190" s="45" t="str">
        <f t="shared" si="8"/>
        <v/>
      </c>
      <c r="G190" s="56" t="str">
        <f t="shared" si="9"/>
        <v/>
      </c>
      <c r="H190" s="73"/>
      <c r="I190" s="73"/>
      <c r="J190" s="112" t="str">
        <f t="shared" si="10"/>
        <v/>
      </c>
      <c r="K190" s="68"/>
    </row>
    <row r="191" spans="1:11" x14ac:dyDescent="0.2">
      <c r="A191" s="108"/>
      <c r="B191" s="72" t="str">
        <f>IF(A191&lt;&gt;"",'EDC - PARAMETRAGE'!$A$3,"")</f>
        <v/>
      </c>
      <c r="C191" s="72" t="str">
        <f>IF(A191&lt;&gt;"",VLOOKUP(A191,'EDC - PRODUCTION'!$A$7:$E$49,5,FALSE),"")</f>
        <v/>
      </c>
      <c r="D191" s="72" t="str">
        <f>IF(A191&lt;&gt;"",VLOOKUP(A191,'EDC - PRODUCTION'!$A$7:$I$49,4,FALSE),"")</f>
        <v/>
      </c>
      <c r="E191" s="44"/>
      <c r="F191" s="45" t="str">
        <f t="shared" si="8"/>
        <v/>
      </c>
      <c r="G191" s="56" t="str">
        <f t="shared" si="9"/>
        <v/>
      </c>
      <c r="H191" s="73"/>
      <c r="I191" s="73"/>
      <c r="J191" s="112" t="str">
        <f t="shared" si="10"/>
        <v/>
      </c>
      <c r="K191" s="68"/>
    </row>
    <row r="192" spans="1:11" x14ac:dyDescent="0.2">
      <c r="A192" s="108"/>
      <c r="B192" s="72" t="str">
        <f>IF(A192&lt;&gt;"",'EDC - PARAMETRAGE'!$A$3,"")</f>
        <v/>
      </c>
      <c r="C192" s="72" t="str">
        <f>IF(A192&lt;&gt;"",VLOOKUP(A192,'EDC - PRODUCTION'!$A$7:$E$49,5,FALSE),"")</f>
        <v/>
      </c>
      <c r="D192" s="72" t="str">
        <f>IF(A192&lt;&gt;"",VLOOKUP(A192,'EDC - PRODUCTION'!$A$7:$I$49,4,FALSE),"")</f>
        <v/>
      </c>
      <c r="E192" s="44"/>
      <c r="F192" s="45" t="str">
        <f t="shared" si="8"/>
        <v/>
      </c>
      <c r="G192" s="56" t="str">
        <f t="shared" si="9"/>
        <v/>
      </c>
      <c r="H192" s="73"/>
      <c r="I192" s="73"/>
      <c r="J192" s="112" t="str">
        <f t="shared" si="10"/>
        <v/>
      </c>
      <c r="K192" s="68"/>
    </row>
    <row r="193" spans="1:11" x14ac:dyDescent="0.2">
      <c r="A193" s="108"/>
      <c r="B193" s="72" t="str">
        <f>IF(A193&lt;&gt;"",'EDC - PARAMETRAGE'!$A$3,"")</f>
        <v/>
      </c>
      <c r="C193" s="72" t="str">
        <f>IF(A193&lt;&gt;"",VLOOKUP(A193,'EDC - PRODUCTION'!$A$7:$E$49,5,FALSE),"")</f>
        <v/>
      </c>
      <c r="D193" s="72" t="str">
        <f>IF(A193&lt;&gt;"",VLOOKUP(A193,'EDC - PRODUCTION'!$A$7:$I$49,4,FALSE),"")</f>
        <v/>
      </c>
      <c r="E193" s="44"/>
      <c r="F193" s="45" t="str">
        <f t="shared" si="8"/>
        <v/>
      </c>
      <c r="G193" s="56" t="str">
        <f t="shared" si="9"/>
        <v/>
      </c>
      <c r="H193" s="73"/>
      <c r="I193" s="73"/>
      <c r="J193" s="112" t="str">
        <f t="shared" si="10"/>
        <v/>
      </c>
      <c r="K193" s="68"/>
    </row>
    <row r="194" spans="1:11" x14ac:dyDescent="0.2">
      <c r="A194" s="108"/>
      <c r="B194" s="72" t="str">
        <f>IF(A194&lt;&gt;"",'EDC - PARAMETRAGE'!$A$3,"")</f>
        <v/>
      </c>
      <c r="C194" s="72" t="str">
        <f>IF(A194&lt;&gt;"",VLOOKUP(A194,'EDC - PRODUCTION'!$A$7:$E$49,5,FALSE),"")</f>
        <v/>
      </c>
      <c r="D194" s="72" t="str">
        <f>IF(A194&lt;&gt;"",VLOOKUP(A194,'EDC - PRODUCTION'!$A$7:$I$49,4,FALSE),"")</f>
        <v/>
      </c>
      <c r="E194" s="44"/>
      <c r="F194" s="45" t="str">
        <f t="shared" si="8"/>
        <v/>
      </c>
      <c r="G194" s="56" t="str">
        <f t="shared" si="9"/>
        <v/>
      </c>
      <c r="H194" s="73"/>
      <c r="I194" s="73"/>
      <c r="J194" s="112" t="str">
        <f t="shared" si="10"/>
        <v/>
      </c>
      <c r="K194" s="68"/>
    </row>
    <row r="195" spans="1:11" x14ac:dyDescent="0.2">
      <c r="A195" s="108"/>
      <c r="B195" s="72" t="str">
        <f>IF(A195&lt;&gt;"",'EDC - PARAMETRAGE'!$A$3,"")</f>
        <v/>
      </c>
      <c r="C195" s="72" t="str">
        <f>IF(A195&lt;&gt;"",VLOOKUP(A195,'EDC - PRODUCTION'!$A$7:$E$49,5,FALSE),"")</f>
        <v/>
      </c>
      <c r="D195" s="72" t="str">
        <f>IF(A195&lt;&gt;"",VLOOKUP(A195,'EDC - PRODUCTION'!$A$7:$I$49,4,FALSE),"")</f>
        <v/>
      </c>
      <c r="E195" s="44"/>
      <c r="F195" s="45" t="str">
        <f t="shared" si="8"/>
        <v/>
      </c>
      <c r="G195" s="56" t="str">
        <f t="shared" si="9"/>
        <v/>
      </c>
      <c r="H195" s="73"/>
      <c r="I195" s="73"/>
      <c r="J195" s="112" t="str">
        <f t="shared" si="10"/>
        <v/>
      </c>
      <c r="K195" s="68"/>
    </row>
    <row r="196" spans="1:11" x14ac:dyDescent="0.2">
      <c r="A196" s="108"/>
      <c r="B196" s="72" t="str">
        <f>IF(A196&lt;&gt;"",'EDC - PARAMETRAGE'!$A$3,"")</f>
        <v/>
      </c>
      <c r="C196" s="72" t="str">
        <f>IF(A196&lt;&gt;"",VLOOKUP(A196,'EDC - PRODUCTION'!$A$7:$E$49,5,FALSE),"")</f>
        <v/>
      </c>
      <c r="D196" s="72" t="str">
        <f>IF(A196&lt;&gt;"",VLOOKUP(A196,'EDC - PRODUCTION'!$A$7:$I$49,4,FALSE),"")</f>
        <v/>
      </c>
      <c r="E196" s="44"/>
      <c r="F196" s="45" t="str">
        <f t="shared" ref="F196:F259" si="11">IF(A196&lt;&gt;"","DDE","")</f>
        <v/>
      </c>
      <c r="G196" s="56" t="str">
        <f t="shared" ref="G196:G259" si="12">IF(A196&lt;&gt;"",1,"")</f>
        <v/>
      </c>
      <c r="H196" s="73"/>
      <c r="I196" s="73"/>
      <c r="J196" s="112" t="str">
        <f t="shared" ref="J196:J259" si="13">IF(A196&lt;&gt;"",SUM(H196:I196),"")</f>
        <v/>
      </c>
      <c r="K196" s="68"/>
    </row>
    <row r="197" spans="1:11" x14ac:dyDescent="0.2">
      <c r="A197" s="108"/>
      <c r="B197" s="72" t="str">
        <f>IF(A197&lt;&gt;"",'EDC - PARAMETRAGE'!$A$3,"")</f>
        <v/>
      </c>
      <c r="C197" s="72" t="str">
        <f>IF(A197&lt;&gt;"",VLOOKUP(A197,'EDC - PRODUCTION'!$A$7:$E$49,5,FALSE),"")</f>
        <v/>
      </c>
      <c r="D197" s="72" t="str">
        <f>IF(A197&lt;&gt;"",VLOOKUP(A197,'EDC - PRODUCTION'!$A$7:$I$49,4,FALSE),"")</f>
        <v/>
      </c>
      <c r="E197" s="44"/>
      <c r="F197" s="45" t="str">
        <f t="shared" si="11"/>
        <v/>
      </c>
      <c r="G197" s="56" t="str">
        <f t="shared" si="12"/>
        <v/>
      </c>
      <c r="H197" s="73"/>
      <c r="I197" s="73"/>
      <c r="J197" s="112" t="str">
        <f t="shared" si="13"/>
        <v/>
      </c>
      <c r="K197" s="68"/>
    </row>
    <row r="198" spans="1:11" x14ac:dyDescent="0.2">
      <c r="A198" s="108"/>
      <c r="B198" s="72" t="str">
        <f>IF(A198&lt;&gt;"",'EDC - PARAMETRAGE'!$A$3,"")</f>
        <v/>
      </c>
      <c r="C198" s="72" t="str">
        <f>IF(A198&lt;&gt;"",VLOOKUP(A198,'EDC - PRODUCTION'!$A$7:$E$49,5,FALSE),"")</f>
        <v/>
      </c>
      <c r="D198" s="72" t="str">
        <f>IF(A198&lt;&gt;"",VLOOKUP(A198,'EDC - PRODUCTION'!$A$7:$I$49,4,FALSE),"")</f>
        <v/>
      </c>
      <c r="E198" s="44"/>
      <c r="F198" s="45" t="str">
        <f t="shared" si="11"/>
        <v/>
      </c>
      <c r="G198" s="56" t="str">
        <f t="shared" si="12"/>
        <v/>
      </c>
      <c r="H198" s="73"/>
      <c r="I198" s="73"/>
      <c r="J198" s="112" t="str">
        <f t="shared" si="13"/>
        <v/>
      </c>
      <c r="K198" s="68"/>
    </row>
    <row r="199" spans="1:11" x14ac:dyDescent="0.2">
      <c r="A199" s="108"/>
      <c r="B199" s="72" t="str">
        <f>IF(A199&lt;&gt;"",'EDC - PARAMETRAGE'!$A$3,"")</f>
        <v/>
      </c>
      <c r="C199" s="72" t="str">
        <f>IF(A199&lt;&gt;"",VLOOKUP(A199,'EDC - PRODUCTION'!$A$7:$E$49,5,FALSE),"")</f>
        <v/>
      </c>
      <c r="D199" s="72" t="str">
        <f>IF(A199&lt;&gt;"",VLOOKUP(A199,'EDC - PRODUCTION'!$A$7:$I$49,4,FALSE),"")</f>
        <v/>
      </c>
      <c r="E199" s="44"/>
      <c r="F199" s="45" t="str">
        <f t="shared" si="11"/>
        <v/>
      </c>
      <c r="G199" s="56" t="str">
        <f t="shared" si="12"/>
        <v/>
      </c>
      <c r="H199" s="73"/>
      <c r="I199" s="73"/>
      <c r="J199" s="112" t="str">
        <f t="shared" si="13"/>
        <v/>
      </c>
      <c r="K199" s="68"/>
    </row>
    <row r="200" spans="1:11" x14ac:dyDescent="0.2">
      <c r="A200" s="108"/>
      <c r="B200" s="72" t="str">
        <f>IF(A200&lt;&gt;"",'EDC - PARAMETRAGE'!$A$3,"")</f>
        <v/>
      </c>
      <c r="C200" s="72" t="str">
        <f>IF(A200&lt;&gt;"",VLOOKUP(A200,'EDC - PRODUCTION'!$A$7:$E$49,5,FALSE),"")</f>
        <v/>
      </c>
      <c r="D200" s="72" t="str">
        <f>IF(A200&lt;&gt;"",VLOOKUP(A200,'EDC - PRODUCTION'!$A$7:$I$49,4,FALSE),"")</f>
        <v/>
      </c>
      <c r="E200" s="44"/>
      <c r="F200" s="45" t="str">
        <f t="shared" si="11"/>
        <v/>
      </c>
      <c r="G200" s="56" t="str">
        <f t="shared" si="12"/>
        <v/>
      </c>
      <c r="H200" s="73"/>
      <c r="I200" s="73"/>
      <c r="J200" s="112" t="str">
        <f t="shared" si="13"/>
        <v/>
      </c>
      <c r="K200" s="68"/>
    </row>
    <row r="201" spans="1:11" x14ac:dyDescent="0.2">
      <c r="A201" s="108"/>
      <c r="B201" s="72" t="str">
        <f>IF(A201&lt;&gt;"",'EDC - PARAMETRAGE'!$A$3,"")</f>
        <v/>
      </c>
      <c r="C201" s="72" t="str">
        <f>IF(A201&lt;&gt;"",VLOOKUP(A201,'EDC - PRODUCTION'!$A$7:$E$49,5,FALSE),"")</f>
        <v/>
      </c>
      <c r="D201" s="72" t="str">
        <f>IF(A201&lt;&gt;"",VLOOKUP(A201,'EDC - PRODUCTION'!$A$7:$I$49,4,FALSE),"")</f>
        <v/>
      </c>
      <c r="E201" s="44"/>
      <c r="F201" s="45" t="str">
        <f t="shared" si="11"/>
        <v/>
      </c>
      <c r="G201" s="56" t="str">
        <f t="shared" si="12"/>
        <v/>
      </c>
      <c r="H201" s="73"/>
      <c r="I201" s="73"/>
      <c r="J201" s="112" t="str">
        <f t="shared" si="13"/>
        <v/>
      </c>
      <c r="K201" s="68"/>
    </row>
    <row r="202" spans="1:11" x14ac:dyDescent="0.2">
      <c r="A202" s="108"/>
      <c r="B202" s="72" t="str">
        <f>IF(A202&lt;&gt;"",'EDC - PARAMETRAGE'!$A$3,"")</f>
        <v/>
      </c>
      <c r="C202" s="72" t="str">
        <f>IF(A202&lt;&gt;"",VLOOKUP(A202,'EDC - PRODUCTION'!$A$7:$E$49,5,FALSE),"")</f>
        <v/>
      </c>
      <c r="D202" s="72" t="str">
        <f>IF(A202&lt;&gt;"",VLOOKUP(A202,'EDC - PRODUCTION'!$A$7:$I$49,4,FALSE),"")</f>
        <v/>
      </c>
      <c r="E202" s="44"/>
      <c r="F202" s="45" t="str">
        <f t="shared" si="11"/>
        <v/>
      </c>
      <c r="G202" s="56" t="str">
        <f t="shared" si="12"/>
        <v/>
      </c>
      <c r="H202" s="73"/>
      <c r="I202" s="73"/>
      <c r="J202" s="112" t="str">
        <f t="shared" si="13"/>
        <v/>
      </c>
      <c r="K202" s="68"/>
    </row>
    <row r="203" spans="1:11" x14ac:dyDescent="0.2">
      <c r="A203" s="108"/>
      <c r="B203" s="72" t="str">
        <f>IF(A203&lt;&gt;"",'EDC - PARAMETRAGE'!$A$3,"")</f>
        <v/>
      </c>
      <c r="C203" s="72" t="str">
        <f>IF(A203&lt;&gt;"",VLOOKUP(A203,'EDC - PRODUCTION'!$A$7:$E$49,5,FALSE),"")</f>
        <v/>
      </c>
      <c r="D203" s="72" t="str">
        <f>IF(A203&lt;&gt;"",VLOOKUP(A203,'EDC - PRODUCTION'!$A$7:$I$49,4,FALSE),"")</f>
        <v/>
      </c>
      <c r="E203" s="44"/>
      <c r="F203" s="45" t="str">
        <f t="shared" si="11"/>
        <v/>
      </c>
      <c r="G203" s="56" t="str">
        <f t="shared" si="12"/>
        <v/>
      </c>
      <c r="H203" s="73"/>
      <c r="I203" s="73"/>
      <c r="J203" s="112" t="str">
        <f t="shared" si="13"/>
        <v/>
      </c>
      <c r="K203" s="68"/>
    </row>
    <row r="204" spans="1:11" x14ac:dyDescent="0.2">
      <c r="A204" s="108"/>
      <c r="B204" s="72" t="str">
        <f>IF(A204&lt;&gt;"",'EDC - PARAMETRAGE'!$A$3,"")</f>
        <v/>
      </c>
      <c r="C204" s="72" t="str">
        <f>IF(A204&lt;&gt;"",VLOOKUP(A204,'EDC - PRODUCTION'!$A$7:$E$49,5,FALSE),"")</f>
        <v/>
      </c>
      <c r="D204" s="72" t="str">
        <f>IF(A204&lt;&gt;"",VLOOKUP(A204,'EDC - PRODUCTION'!$A$7:$I$49,4,FALSE),"")</f>
        <v/>
      </c>
      <c r="E204" s="44"/>
      <c r="F204" s="45" t="str">
        <f t="shared" si="11"/>
        <v/>
      </c>
      <c r="G204" s="56" t="str">
        <f t="shared" si="12"/>
        <v/>
      </c>
      <c r="H204" s="73"/>
      <c r="I204" s="73"/>
      <c r="J204" s="112" t="str">
        <f t="shared" si="13"/>
        <v/>
      </c>
      <c r="K204" s="68"/>
    </row>
    <row r="205" spans="1:11" x14ac:dyDescent="0.2">
      <c r="A205" s="108"/>
      <c r="B205" s="72" t="str">
        <f>IF(A205&lt;&gt;"",'EDC - PARAMETRAGE'!$A$3,"")</f>
        <v/>
      </c>
      <c r="C205" s="72" t="str">
        <f>IF(A205&lt;&gt;"",VLOOKUP(A205,'EDC - PRODUCTION'!$A$7:$E$49,5,FALSE),"")</f>
        <v/>
      </c>
      <c r="D205" s="72" t="str">
        <f>IF(A205&lt;&gt;"",VLOOKUP(A205,'EDC - PRODUCTION'!$A$7:$I$49,4,FALSE),"")</f>
        <v/>
      </c>
      <c r="E205" s="44"/>
      <c r="F205" s="45" t="str">
        <f t="shared" si="11"/>
        <v/>
      </c>
      <c r="G205" s="56" t="str">
        <f t="shared" si="12"/>
        <v/>
      </c>
      <c r="H205" s="73"/>
      <c r="I205" s="73"/>
      <c r="J205" s="112" t="str">
        <f t="shared" si="13"/>
        <v/>
      </c>
      <c r="K205" s="68"/>
    </row>
    <row r="206" spans="1:11" x14ac:dyDescent="0.2">
      <c r="A206" s="108"/>
      <c r="B206" s="72" t="str">
        <f>IF(A206&lt;&gt;"",'EDC - PARAMETRAGE'!$A$3,"")</f>
        <v/>
      </c>
      <c r="C206" s="72" t="str">
        <f>IF(A206&lt;&gt;"",VLOOKUP(A206,'EDC - PRODUCTION'!$A$7:$E$49,5,FALSE),"")</f>
        <v/>
      </c>
      <c r="D206" s="72" t="str">
        <f>IF(A206&lt;&gt;"",VLOOKUP(A206,'EDC - PRODUCTION'!$A$7:$I$49,4,FALSE),"")</f>
        <v/>
      </c>
      <c r="E206" s="44"/>
      <c r="F206" s="45" t="str">
        <f t="shared" si="11"/>
        <v/>
      </c>
      <c r="G206" s="56" t="str">
        <f t="shared" si="12"/>
        <v/>
      </c>
      <c r="H206" s="73"/>
      <c r="I206" s="73"/>
      <c r="J206" s="112" t="str">
        <f t="shared" si="13"/>
        <v/>
      </c>
      <c r="K206" s="68"/>
    </row>
    <row r="207" spans="1:11" x14ac:dyDescent="0.2">
      <c r="A207" s="108"/>
      <c r="B207" s="72" t="str">
        <f>IF(A207&lt;&gt;"",'EDC - PARAMETRAGE'!$A$3,"")</f>
        <v/>
      </c>
      <c r="C207" s="72" t="str">
        <f>IF(A207&lt;&gt;"",VLOOKUP(A207,'EDC - PRODUCTION'!$A$7:$E$49,5,FALSE),"")</f>
        <v/>
      </c>
      <c r="D207" s="72" t="str">
        <f>IF(A207&lt;&gt;"",VLOOKUP(A207,'EDC - PRODUCTION'!$A$7:$I$49,4,FALSE),"")</f>
        <v/>
      </c>
      <c r="E207" s="44"/>
      <c r="F207" s="45" t="str">
        <f t="shared" si="11"/>
        <v/>
      </c>
      <c r="G207" s="56" t="str">
        <f t="shared" si="12"/>
        <v/>
      </c>
      <c r="H207" s="73"/>
      <c r="I207" s="73"/>
      <c r="J207" s="112" t="str">
        <f t="shared" si="13"/>
        <v/>
      </c>
      <c r="K207" s="68"/>
    </row>
    <row r="208" spans="1:11" x14ac:dyDescent="0.2">
      <c r="A208" s="108"/>
      <c r="B208" s="72" t="str">
        <f>IF(A208&lt;&gt;"",'EDC - PARAMETRAGE'!$A$3,"")</f>
        <v/>
      </c>
      <c r="C208" s="72" t="str">
        <f>IF(A208&lt;&gt;"",VLOOKUP(A208,'EDC - PRODUCTION'!$A$7:$E$49,5,FALSE),"")</f>
        <v/>
      </c>
      <c r="D208" s="72" t="str">
        <f>IF(A208&lt;&gt;"",VLOOKUP(A208,'EDC - PRODUCTION'!$A$7:$I$49,4,FALSE),"")</f>
        <v/>
      </c>
      <c r="E208" s="44"/>
      <c r="F208" s="45" t="str">
        <f t="shared" si="11"/>
        <v/>
      </c>
      <c r="G208" s="56" t="str">
        <f t="shared" si="12"/>
        <v/>
      </c>
      <c r="H208" s="73"/>
      <c r="I208" s="73"/>
      <c r="J208" s="112" t="str">
        <f t="shared" si="13"/>
        <v/>
      </c>
      <c r="K208" s="68"/>
    </row>
    <row r="209" spans="1:11" x14ac:dyDescent="0.2">
      <c r="A209" s="108"/>
      <c r="B209" s="72" t="str">
        <f>IF(A209&lt;&gt;"",'EDC - PARAMETRAGE'!$A$3,"")</f>
        <v/>
      </c>
      <c r="C209" s="72" t="str">
        <f>IF(A209&lt;&gt;"",VLOOKUP(A209,'EDC - PRODUCTION'!$A$7:$E$49,5,FALSE),"")</f>
        <v/>
      </c>
      <c r="D209" s="72" t="str">
        <f>IF(A209&lt;&gt;"",VLOOKUP(A209,'EDC - PRODUCTION'!$A$7:$I$49,4,FALSE),"")</f>
        <v/>
      </c>
      <c r="E209" s="44"/>
      <c r="F209" s="45" t="str">
        <f t="shared" si="11"/>
        <v/>
      </c>
      <c r="G209" s="56" t="str">
        <f t="shared" si="12"/>
        <v/>
      </c>
      <c r="H209" s="73"/>
      <c r="I209" s="73"/>
      <c r="J209" s="112" t="str">
        <f t="shared" si="13"/>
        <v/>
      </c>
      <c r="K209" s="68"/>
    </row>
    <row r="210" spans="1:11" x14ac:dyDescent="0.2">
      <c r="A210" s="108"/>
      <c r="B210" s="72" t="str">
        <f>IF(A210&lt;&gt;"",'EDC - PARAMETRAGE'!$A$3,"")</f>
        <v/>
      </c>
      <c r="C210" s="72" t="str">
        <f>IF(A210&lt;&gt;"",VLOOKUP(A210,'EDC - PRODUCTION'!$A$7:$E$49,5,FALSE),"")</f>
        <v/>
      </c>
      <c r="D210" s="72" t="str">
        <f>IF(A210&lt;&gt;"",VLOOKUP(A210,'EDC - PRODUCTION'!$A$7:$I$49,4,FALSE),"")</f>
        <v/>
      </c>
      <c r="E210" s="44"/>
      <c r="F210" s="45" t="str">
        <f t="shared" si="11"/>
        <v/>
      </c>
      <c r="G210" s="56" t="str">
        <f t="shared" si="12"/>
        <v/>
      </c>
      <c r="H210" s="73"/>
      <c r="I210" s="73"/>
      <c r="J210" s="112" t="str">
        <f t="shared" si="13"/>
        <v/>
      </c>
      <c r="K210" s="68"/>
    </row>
    <row r="211" spans="1:11" x14ac:dyDescent="0.2">
      <c r="A211" s="108"/>
      <c r="B211" s="72" t="str">
        <f>IF(A211&lt;&gt;"",'EDC - PARAMETRAGE'!$A$3,"")</f>
        <v/>
      </c>
      <c r="C211" s="72" t="str">
        <f>IF(A211&lt;&gt;"",VLOOKUP(A211,'EDC - PRODUCTION'!$A$7:$E$49,5,FALSE),"")</f>
        <v/>
      </c>
      <c r="D211" s="72" t="str">
        <f>IF(A211&lt;&gt;"",VLOOKUP(A211,'EDC - PRODUCTION'!$A$7:$I$49,4,FALSE),"")</f>
        <v/>
      </c>
      <c r="E211" s="44"/>
      <c r="F211" s="45" t="str">
        <f t="shared" si="11"/>
        <v/>
      </c>
      <c r="G211" s="56" t="str">
        <f t="shared" si="12"/>
        <v/>
      </c>
      <c r="H211" s="73"/>
      <c r="I211" s="73"/>
      <c r="J211" s="112" t="str">
        <f t="shared" si="13"/>
        <v/>
      </c>
      <c r="K211" s="68"/>
    </row>
    <row r="212" spans="1:11" x14ac:dyDescent="0.2">
      <c r="A212" s="108"/>
      <c r="B212" s="72" t="str">
        <f>IF(A212&lt;&gt;"",'EDC - PARAMETRAGE'!$A$3,"")</f>
        <v/>
      </c>
      <c r="C212" s="72" t="str">
        <f>IF(A212&lt;&gt;"",VLOOKUP(A212,'EDC - PRODUCTION'!$A$7:$E$49,5,FALSE),"")</f>
        <v/>
      </c>
      <c r="D212" s="72" t="str">
        <f>IF(A212&lt;&gt;"",VLOOKUP(A212,'EDC - PRODUCTION'!$A$7:$I$49,4,FALSE),"")</f>
        <v/>
      </c>
      <c r="E212" s="44"/>
      <c r="F212" s="45" t="str">
        <f t="shared" si="11"/>
        <v/>
      </c>
      <c r="G212" s="56" t="str">
        <f t="shared" si="12"/>
        <v/>
      </c>
      <c r="H212" s="73"/>
      <c r="I212" s="73"/>
      <c r="J212" s="112" t="str">
        <f t="shared" si="13"/>
        <v/>
      </c>
      <c r="K212" s="68"/>
    </row>
    <row r="213" spans="1:11" x14ac:dyDescent="0.2">
      <c r="A213" s="108"/>
      <c r="B213" s="72" t="str">
        <f>IF(A213&lt;&gt;"",'EDC - PARAMETRAGE'!$A$3,"")</f>
        <v/>
      </c>
      <c r="C213" s="72" t="str">
        <f>IF(A213&lt;&gt;"",VLOOKUP(A213,'EDC - PRODUCTION'!$A$7:$E$49,5,FALSE),"")</f>
        <v/>
      </c>
      <c r="D213" s="72" t="str">
        <f>IF(A213&lt;&gt;"",VLOOKUP(A213,'EDC - PRODUCTION'!$A$7:$I$49,4,FALSE),"")</f>
        <v/>
      </c>
      <c r="E213" s="44"/>
      <c r="F213" s="45" t="str">
        <f t="shared" si="11"/>
        <v/>
      </c>
      <c r="G213" s="56" t="str">
        <f t="shared" si="12"/>
        <v/>
      </c>
      <c r="H213" s="73"/>
      <c r="I213" s="73"/>
      <c r="J213" s="112" t="str">
        <f t="shared" si="13"/>
        <v/>
      </c>
      <c r="K213" s="68"/>
    </row>
    <row r="214" spans="1:11" x14ac:dyDescent="0.2">
      <c r="A214" s="108"/>
      <c r="B214" s="72" t="str">
        <f>IF(A214&lt;&gt;"",'EDC - PARAMETRAGE'!$A$3,"")</f>
        <v/>
      </c>
      <c r="C214" s="72" t="str">
        <f>IF(A214&lt;&gt;"",VLOOKUP(A214,'EDC - PRODUCTION'!$A$7:$E$49,5,FALSE),"")</f>
        <v/>
      </c>
      <c r="D214" s="72" t="str">
        <f>IF(A214&lt;&gt;"",VLOOKUP(A214,'EDC - PRODUCTION'!$A$7:$I$49,4,FALSE),"")</f>
        <v/>
      </c>
      <c r="E214" s="44"/>
      <c r="F214" s="45" t="str">
        <f t="shared" si="11"/>
        <v/>
      </c>
      <c r="G214" s="56" t="str">
        <f t="shared" si="12"/>
        <v/>
      </c>
      <c r="H214" s="73"/>
      <c r="I214" s="73"/>
      <c r="J214" s="112" t="str">
        <f t="shared" si="13"/>
        <v/>
      </c>
      <c r="K214" s="68"/>
    </row>
    <row r="215" spans="1:11" x14ac:dyDescent="0.2">
      <c r="A215" s="108"/>
      <c r="B215" s="72" t="str">
        <f>IF(A215&lt;&gt;"",'EDC - PARAMETRAGE'!$A$3,"")</f>
        <v/>
      </c>
      <c r="C215" s="72" t="str">
        <f>IF(A215&lt;&gt;"",VLOOKUP(A215,'EDC - PRODUCTION'!$A$7:$E$49,5,FALSE),"")</f>
        <v/>
      </c>
      <c r="D215" s="72" t="str">
        <f>IF(A215&lt;&gt;"",VLOOKUP(A215,'EDC - PRODUCTION'!$A$7:$I$49,4,FALSE),"")</f>
        <v/>
      </c>
      <c r="E215" s="44"/>
      <c r="F215" s="45" t="str">
        <f t="shared" si="11"/>
        <v/>
      </c>
      <c r="G215" s="56" t="str">
        <f t="shared" si="12"/>
        <v/>
      </c>
      <c r="H215" s="73"/>
      <c r="I215" s="73"/>
      <c r="J215" s="112" t="str">
        <f t="shared" si="13"/>
        <v/>
      </c>
      <c r="K215" s="68"/>
    </row>
    <row r="216" spans="1:11" x14ac:dyDescent="0.2">
      <c r="A216" s="108"/>
      <c r="B216" s="72" t="str">
        <f>IF(A216&lt;&gt;"",'EDC - PARAMETRAGE'!$A$3,"")</f>
        <v/>
      </c>
      <c r="C216" s="72" t="str">
        <f>IF(A216&lt;&gt;"",VLOOKUP(A216,'EDC - PRODUCTION'!$A$7:$E$49,5,FALSE),"")</f>
        <v/>
      </c>
      <c r="D216" s="72" t="str">
        <f>IF(A216&lt;&gt;"",VLOOKUP(A216,'EDC - PRODUCTION'!$A$7:$I$49,4,FALSE),"")</f>
        <v/>
      </c>
      <c r="E216" s="44"/>
      <c r="F216" s="45" t="str">
        <f t="shared" si="11"/>
        <v/>
      </c>
      <c r="G216" s="56" t="str">
        <f t="shared" si="12"/>
        <v/>
      </c>
      <c r="H216" s="73"/>
      <c r="I216" s="73"/>
      <c r="J216" s="112" t="str">
        <f t="shared" si="13"/>
        <v/>
      </c>
      <c r="K216" s="68"/>
    </row>
    <row r="217" spans="1:11" x14ac:dyDescent="0.2">
      <c r="A217" s="108"/>
      <c r="B217" s="72" t="str">
        <f>IF(A217&lt;&gt;"",'EDC - PARAMETRAGE'!$A$3,"")</f>
        <v/>
      </c>
      <c r="C217" s="72" t="str">
        <f>IF(A217&lt;&gt;"",VLOOKUP(A217,'EDC - PRODUCTION'!$A$7:$E$49,5,FALSE),"")</f>
        <v/>
      </c>
      <c r="D217" s="72" t="str">
        <f>IF(A217&lt;&gt;"",VLOOKUP(A217,'EDC - PRODUCTION'!$A$7:$I$49,4,FALSE),"")</f>
        <v/>
      </c>
      <c r="E217" s="44"/>
      <c r="F217" s="45" t="str">
        <f t="shared" si="11"/>
        <v/>
      </c>
      <c r="G217" s="56" t="str">
        <f t="shared" si="12"/>
        <v/>
      </c>
      <c r="H217" s="73"/>
      <c r="I217" s="73"/>
      <c r="J217" s="112" t="str">
        <f t="shared" si="13"/>
        <v/>
      </c>
      <c r="K217" s="68"/>
    </row>
    <row r="218" spans="1:11" x14ac:dyDescent="0.2">
      <c r="A218" s="108"/>
      <c r="B218" s="72" t="str">
        <f>IF(A218&lt;&gt;"",'EDC - PARAMETRAGE'!$A$3,"")</f>
        <v/>
      </c>
      <c r="C218" s="72" t="str">
        <f>IF(A218&lt;&gt;"",VLOOKUP(A218,'EDC - PRODUCTION'!$A$7:$E$49,5,FALSE),"")</f>
        <v/>
      </c>
      <c r="D218" s="72" t="str">
        <f>IF(A218&lt;&gt;"",VLOOKUP(A218,'EDC - PRODUCTION'!$A$7:$I$49,4,FALSE),"")</f>
        <v/>
      </c>
      <c r="E218" s="44"/>
      <c r="F218" s="45" t="str">
        <f t="shared" si="11"/>
        <v/>
      </c>
      <c r="G218" s="56" t="str">
        <f t="shared" si="12"/>
        <v/>
      </c>
      <c r="H218" s="73"/>
      <c r="I218" s="73"/>
      <c r="J218" s="112" t="str">
        <f t="shared" si="13"/>
        <v/>
      </c>
      <c r="K218" s="68"/>
    </row>
    <row r="219" spans="1:11" x14ac:dyDescent="0.2">
      <c r="A219" s="108"/>
      <c r="B219" s="72" t="str">
        <f>IF(A219&lt;&gt;"",'EDC - PARAMETRAGE'!$A$3,"")</f>
        <v/>
      </c>
      <c r="C219" s="72" t="str">
        <f>IF(A219&lt;&gt;"",VLOOKUP(A219,'EDC - PRODUCTION'!$A$7:$E$49,5,FALSE),"")</f>
        <v/>
      </c>
      <c r="D219" s="72" t="str">
        <f>IF(A219&lt;&gt;"",VLOOKUP(A219,'EDC - PRODUCTION'!$A$7:$I$49,4,FALSE),"")</f>
        <v/>
      </c>
      <c r="E219" s="44"/>
      <c r="F219" s="45" t="str">
        <f t="shared" si="11"/>
        <v/>
      </c>
      <c r="G219" s="56" t="str">
        <f t="shared" si="12"/>
        <v/>
      </c>
      <c r="H219" s="73"/>
      <c r="I219" s="73"/>
      <c r="J219" s="112" t="str">
        <f t="shared" si="13"/>
        <v/>
      </c>
      <c r="K219" s="68"/>
    </row>
    <row r="220" spans="1:11" x14ac:dyDescent="0.2">
      <c r="A220" s="108"/>
      <c r="B220" s="72" t="str">
        <f>IF(A220&lt;&gt;"",'EDC - PARAMETRAGE'!$A$3,"")</f>
        <v/>
      </c>
      <c r="C220" s="72" t="str">
        <f>IF(A220&lt;&gt;"",VLOOKUP(A220,'EDC - PRODUCTION'!$A$7:$E$49,5,FALSE),"")</f>
        <v/>
      </c>
      <c r="D220" s="72" t="str">
        <f>IF(A220&lt;&gt;"",VLOOKUP(A220,'EDC - PRODUCTION'!$A$7:$I$49,4,FALSE),"")</f>
        <v/>
      </c>
      <c r="E220" s="44"/>
      <c r="F220" s="45" t="str">
        <f t="shared" si="11"/>
        <v/>
      </c>
      <c r="G220" s="56" t="str">
        <f t="shared" si="12"/>
        <v/>
      </c>
      <c r="H220" s="73"/>
      <c r="I220" s="73"/>
      <c r="J220" s="112" t="str">
        <f t="shared" si="13"/>
        <v/>
      </c>
      <c r="K220" s="68"/>
    </row>
    <row r="221" spans="1:11" x14ac:dyDescent="0.2">
      <c r="A221" s="108"/>
      <c r="B221" s="72" t="str">
        <f>IF(A221&lt;&gt;"",'EDC - PARAMETRAGE'!$A$3,"")</f>
        <v/>
      </c>
      <c r="C221" s="72" t="str">
        <f>IF(A221&lt;&gt;"",VLOOKUP(A221,'EDC - PRODUCTION'!$A$7:$E$49,5,FALSE),"")</f>
        <v/>
      </c>
      <c r="D221" s="72" t="str">
        <f>IF(A221&lt;&gt;"",VLOOKUP(A221,'EDC - PRODUCTION'!$A$7:$I$49,4,FALSE),"")</f>
        <v/>
      </c>
      <c r="E221" s="44"/>
      <c r="F221" s="45" t="str">
        <f t="shared" si="11"/>
        <v/>
      </c>
      <c r="G221" s="56" t="str">
        <f t="shared" si="12"/>
        <v/>
      </c>
      <c r="H221" s="73"/>
      <c r="I221" s="73"/>
      <c r="J221" s="112" t="str">
        <f t="shared" si="13"/>
        <v/>
      </c>
      <c r="K221" s="68"/>
    </row>
    <row r="222" spans="1:11" x14ac:dyDescent="0.2">
      <c r="A222" s="108"/>
      <c r="B222" s="72" t="str">
        <f>IF(A222&lt;&gt;"",'EDC - PARAMETRAGE'!$A$3,"")</f>
        <v/>
      </c>
      <c r="C222" s="72" t="str">
        <f>IF(A222&lt;&gt;"",VLOOKUP(A222,'EDC - PRODUCTION'!$A$7:$E$49,5,FALSE),"")</f>
        <v/>
      </c>
      <c r="D222" s="72" t="str">
        <f>IF(A222&lt;&gt;"",VLOOKUP(A222,'EDC - PRODUCTION'!$A$7:$I$49,4,FALSE),"")</f>
        <v/>
      </c>
      <c r="E222" s="44"/>
      <c r="F222" s="45" t="str">
        <f t="shared" si="11"/>
        <v/>
      </c>
      <c r="G222" s="56" t="str">
        <f t="shared" si="12"/>
        <v/>
      </c>
      <c r="H222" s="73"/>
      <c r="I222" s="73"/>
      <c r="J222" s="112" t="str">
        <f t="shared" si="13"/>
        <v/>
      </c>
      <c r="K222" s="68"/>
    </row>
    <row r="223" spans="1:11" x14ac:dyDescent="0.2">
      <c r="A223" s="108"/>
      <c r="B223" s="72" t="str">
        <f>IF(A223&lt;&gt;"",'EDC - PARAMETRAGE'!$A$3,"")</f>
        <v/>
      </c>
      <c r="C223" s="72" t="str">
        <f>IF(A223&lt;&gt;"",VLOOKUP(A223,'EDC - PRODUCTION'!$A$7:$E$49,5,FALSE),"")</f>
        <v/>
      </c>
      <c r="D223" s="72" t="str">
        <f>IF(A223&lt;&gt;"",VLOOKUP(A223,'EDC - PRODUCTION'!$A$7:$I$49,4,FALSE),"")</f>
        <v/>
      </c>
      <c r="E223" s="44"/>
      <c r="F223" s="45" t="str">
        <f t="shared" si="11"/>
        <v/>
      </c>
      <c r="G223" s="56" t="str">
        <f t="shared" si="12"/>
        <v/>
      </c>
      <c r="H223" s="73"/>
      <c r="I223" s="73"/>
      <c r="J223" s="112" t="str">
        <f t="shared" si="13"/>
        <v/>
      </c>
      <c r="K223" s="68"/>
    </row>
    <row r="224" spans="1:11" x14ac:dyDescent="0.2">
      <c r="A224" s="108"/>
      <c r="B224" s="72" t="str">
        <f>IF(A224&lt;&gt;"",'EDC - PARAMETRAGE'!$A$3,"")</f>
        <v/>
      </c>
      <c r="C224" s="72" t="str">
        <f>IF(A224&lt;&gt;"",VLOOKUP(A224,'EDC - PRODUCTION'!$A$7:$E$49,5,FALSE),"")</f>
        <v/>
      </c>
      <c r="D224" s="72" t="str">
        <f>IF(A224&lt;&gt;"",VLOOKUP(A224,'EDC - PRODUCTION'!$A$7:$I$49,4,FALSE),"")</f>
        <v/>
      </c>
      <c r="E224" s="44"/>
      <c r="F224" s="45" t="str">
        <f t="shared" si="11"/>
        <v/>
      </c>
      <c r="G224" s="56" t="str">
        <f t="shared" si="12"/>
        <v/>
      </c>
      <c r="H224" s="73"/>
      <c r="I224" s="73"/>
      <c r="J224" s="112" t="str">
        <f t="shared" si="13"/>
        <v/>
      </c>
      <c r="K224" s="68"/>
    </row>
    <row r="225" spans="1:11" x14ac:dyDescent="0.2">
      <c r="A225" s="108"/>
      <c r="B225" s="72" t="str">
        <f>IF(A225&lt;&gt;"",'EDC - PARAMETRAGE'!$A$3,"")</f>
        <v/>
      </c>
      <c r="C225" s="72" t="str">
        <f>IF(A225&lt;&gt;"",VLOOKUP(A225,'EDC - PRODUCTION'!$A$7:$E$49,5,FALSE),"")</f>
        <v/>
      </c>
      <c r="D225" s="72" t="str">
        <f>IF(A225&lt;&gt;"",VLOOKUP(A225,'EDC - PRODUCTION'!$A$7:$I$49,4,FALSE),"")</f>
        <v/>
      </c>
      <c r="E225" s="44"/>
      <c r="F225" s="45" t="str">
        <f t="shared" si="11"/>
        <v/>
      </c>
      <c r="G225" s="56" t="str">
        <f t="shared" si="12"/>
        <v/>
      </c>
      <c r="H225" s="73"/>
      <c r="I225" s="73"/>
      <c r="J225" s="112" t="str">
        <f t="shared" si="13"/>
        <v/>
      </c>
      <c r="K225" s="68"/>
    </row>
    <row r="226" spans="1:11" x14ac:dyDescent="0.2">
      <c r="A226" s="108"/>
      <c r="B226" s="72" t="str">
        <f>IF(A226&lt;&gt;"",'EDC - PARAMETRAGE'!$A$3,"")</f>
        <v/>
      </c>
      <c r="C226" s="72" t="str">
        <f>IF(A226&lt;&gt;"",VLOOKUP(A226,'EDC - PRODUCTION'!$A$7:$E$49,5,FALSE),"")</f>
        <v/>
      </c>
      <c r="D226" s="72" t="str">
        <f>IF(A226&lt;&gt;"",VLOOKUP(A226,'EDC - PRODUCTION'!$A$7:$I$49,4,FALSE),"")</f>
        <v/>
      </c>
      <c r="E226" s="44"/>
      <c r="F226" s="45" t="str">
        <f t="shared" si="11"/>
        <v/>
      </c>
      <c r="G226" s="56" t="str">
        <f t="shared" si="12"/>
        <v/>
      </c>
      <c r="H226" s="73"/>
      <c r="I226" s="73"/>
      <c r="J226" s="112" t="str">
        <f t="shared" si="13"/>
        <v/>
      </c>
      <c r="K226" s="68"/>
    </row>
    <row r="227" spans="1:11" x14ac:dyDescent="0.2">
      <c r="A227" s="108"/>
      <c r="B227" s="72" t="str">
        <f>IF(A227&lt;&gt;"",'EDC - PARAMETRAGE'!$A$3,"")</f>
        <v/>
      </c>
      <c r="C227" s="72" t="str">
        <f>IF(A227&lt;&gt;"",VLOOKUP(A227,'EDC - PRODUCTION'!$A$7:$E$49,5,FALSE),"")</f>
        <v/>
      </c>
      <c r="D227" s="72" t="str">
        <f>IF(A227&lt;&gt;"",VLOOKUP(A227,'EDC - PRODUCTION'!$A$7:$I$49,4,FALSE),"")</f>
        <v/>
      </c>
      <c r="E227" s="44"/>
      <c r="F227" s="45" t="str">
        <f t="shared" si="11"/>
        <v/>
      </c>
      <c r="G227" s="56" t="str">
        <f t="shared" si="12"/>
        <v/>
      </c>
      <c r="H227" s="73"/>
      <c r="I227" s="73"/>
      <c r="J227" s="112" t="str">
        <f t="shared" si="13"/>
        <v/>
      </c>
      <c r="K227" s="68"/>
    </row>
    <row r="228" spans="1:11" x14ac:dyDescent="0.2">
      <c r="A228" s="108"/>
      <c r="B228" s="72" t="str">
        <f>IF(A228&lt;&gt;"",'EDC - PARAMETRAGE'!$A$3,"")</f>
        <v/>
      </c>
      <c r="C228" s="72" t="str">
        <f>IF(A228&lt;&gt;"",VLOOKUP(A228,'EDC - PRODUCTION'!$A$7:$E$49,5,FALSE),"")</f>
        <v/>
      </c>
      <c r="D228" s="72" t="str">
        <f>IF(A228&lt;&gt;"",VLOOKUP(A228,'EDC - PRODUCTION'!$A$7:$I$49,4,FALSE),"")</f>
        <v/>
      </c>
      <c r="E228" s="44"/>
      <c r="F228" s="45" t="str">
        <f t="shared" si="11"/>
        <v/>
      </c>
      <c r="G228" s="56" t="str">
        <f t="shared" si="12"/>
        <v/>
      </c>
      <c r="H228" s="73"/>
      <c r="I228" s="73"/>
      <c r="J228" s="112" t="str">
        <f t="shared" si="13"/>
        <v/>
      </c>
      <c r="K228" s="68"/>
    </row>
    <row r="229" spans="1:11" x14ac:dyDescent="0.2">
      <c r="A229" s="108"/>
      <c r="B229" s="72" t="str">
        <f>IF(A229&lt;&gt;"",'EDC - PARAMETRAGE'!$A$3,"")</f>
        <v/>
      </c>
      <c r="C229" s="72" t="str">
        <f>IF(A229&lt;&gt;"",VLOOKUP(A229,'EDC - PRODUCTION'!$A$7:$E$49,5,FALSE),"")</f>
        <v/>
      </c>
      <c r="D229" s="72" t="str">
        <f>IF(A229&lt;&gt;"",VLOOKUP(A229,'EDC - PRODUCTION'!$A$7:$I$49,4,FALSE),"")</f>
        <v/>
      </c>
      <c r="E229" s="44"/>
      <c r="F229" s="45" t="str">
        <f t="shared" si="11"/>
        <v/>
      </c>
      <c r="G229" s="56" t="str">
        <f t="shared" si="12"/>
        <v/>
      </c>
      <c r="H229" s="73"/>
      <c r="I229" s="73"/>
      <c r="J229" s="112" t="str">
        <f t="shared" si="13"/>
        <v/>
      </c>
      <c r="K229" s="68"/>
    </row>
    <row r="230" spans="1:11" x14ac:dyDescent="0.2">
      <c r="A230" s="108"/>
      <c r="B230" s="72" t="str">
        <f>IF(A230&lt;&gt;"",'EDC - PARAMETRAGE'!$A$3,"")</f>
        <v/>
      </c>
      <c r="C230" s="72" t="str">
        <f>IF(A230&lt;&gt;"",VLOOKUP(A230,'EDC - PRODUCTION'!$A$7:$E$49,5,FALSE),"")</f>
        <v/>
      </c>
      <c r="D230" s="72" t="str">
        <f>IF(A230&lt;&gt;"",VLOOKUP(A230,'EDC - PRODUCTION'!$A$7:$I$49,4,FALSE),"")</f>
        <v/>
      </c>
      <c r="E230" s="44"/>
      <c r="F230" s="45" t="str">
        <f t="shared" si="11"/>
        <v/>
      </c>
      <c r="G230" s="56" t="str">
        <f t="shared" si="12"/>
        <v/>
      </c>
      <c r="H230" s="73"/>
      <c r="I230" s="73"/>
      <c r="J230" s="112" t="str">
        <f t="shared" si="13"/>
        <v/>
      </c>
      <c r="K230" s="68"/>
    </row>
    <row r="231" spans="1:11" x14ac:dyDescent="0.2">
      <c r="A231" s="108"/>
      <c r="B231" s="72" t="str">
        <f>IF(A231&lt;&gt;"",'EDC - PARAMETRAGE'!$A$3,"")</f>
        <v/>
      </c>
      <c r="C231" s="72" t="str">
        <f>IF(A231&lt;&gt;"",VLOOKUP(A231,'EDC - PRODUCTION'!$A$7:$E$49,5,FALSE),"")</f>
        <v/>
      </c>
      <c r="D231" s="72" t="str">
        <f>IF(A231&lt;&gt;"",VLOOKUP(A231,'EDC - PRODUCTION'!$A$7:$I$49,4,FALSE),"")</f>
        <v/>
      </c>
      <c r="E231" s="44"/>
      <c r="F231" s="45" t="str">
        <f t="shared" si="11"/>
        <v/>
      </c>
      <c r="G231" s="56" t="str">
        <f t="shared" si="12"/>
        <v/>
      </c>
      <c r="H231" s="73"/>
      <c r="I231" s="73"/>
      <c r="J231" s="112" t="str">
        <f t="shared" si="13"/>
        <v/>
      </c>
      <c r="K231" s="68"/>
    </row>
    <row r="232" spans="1:11" x14ac:dyDescent="0.2">
      <c r="A232" s="108"/>
      <c r="B232" s="72" t="str">
        <f>IF(A232&lt;&gt;"",'EDC - PARAMETRAGE'!$A$3,"")</f>
        <v/>
      </c>
      <c r="C232" s="72" t="str">
        <f>IF(A232&lt;&gt;"",VLOOKUP(A232,'EDC - PRODUCTION'!$A$7:$E$49,5,FALSE),"")</f>
        <v/>
      </c>
      <c r="D232" s="72" t="str">
        <f>IF(A232&lt;&gt;"",VLOOKUP(A232,'EDC - PRODUCTION'!$A$7:$I$49,4,FALSE),"")</f>
        <v/>
      </c>
      <c r="E232" s="44"/>
      <c r="F232" s="45" t="str">
        <f t="shared" si="11"/>
        <v/>
      </c>
      <c r="G232" s="56" t="str">
        <f t="shared" si="12"/>
        <v/>
      </c>
      <c r="H232" s="73"/>
      <c r="I232" s="73"/>
      <c r="J232" s="112" t="str">
        <f t="shared" si="13"/>
        <v/>
      </c>
      <c r="K232" s="68"/>
    </row>
    <row r="233" spans="1:11" x14ac:dyDescent="0.2">
      <c r="A233" s="108"/>
      <c r="B233" s="72" t="str">
        <f>IF(A233&lt;&gt;"",'EDC - PARAMETRAGE'!$A$3,"")</f>
        <v/>
      </c>
      <c r="C233" s="72" t="str">
        <f>IF(A233&lt;&gt;"",VLOOKUP(A233,'EDC - PRODUCTION'!$A$7:$E$49,5,FALSE),"")</f>
        <v/>
      </c>
      <c r="D233" s="72" t="str">
        <f>IF(A233&lt;&gt;"",VLOOKUP(A233,'EDC - PRODUCTION'!$A$7:$I$49,4,FALSE),"")</f>
        <v/>
      </c>
      <c r="E233" s="44"/>
      <c r="F233" s="45" t="str">
        <f t="shared" si="11"/>
        <v/>
      </c>
      <c r="G233" s="56" t="str">
        <f t="shared" si="12"/>
        <v/>
      </c>
      <c r="H233" s="73"/>
      <c r="I233" s="73"/>
      <c r="J233" s="112" t="str">
        <f t="shared" si="13"/>
        <v/>
      </c>
      <c r="K233" s="68"/>
    </row>
    <row r="234" spans="1:11" x14ac:dyDescent="0.2">
      <c r="A234" s="108"/>
      <c r="B234" s="72" t="str">
        <f>IF(A234&lt;&gt;"",'EDC - PARAMETRAGE'!$A$3,"")</f>
        <v/>
      </c>
      <c r="C234" s="72" t="str">
        <f>IF(A234&lt;&gt;"",VLOOKUP(A234,'EDC - PRODUCTION'!$A$7:$E$49,5,FALSE),"")</f>
        <v/>
      </c>
      <c r="D234" s="72" t="str">
        <f>IF(A234&lt;&gt;"",VLOOKUP(A234,'EDC - PRODUCTION'!$A$7:$I$49,4,FALSE),"")</f>
        <v/>
      </c>
      <c r="E234" s="44"/>
      <c r="F234" s="45" t="str">
        <f t="shared" si="11"/>
        <v/>
      </c>
      <c r="G234" s="56" t="str">
        <f t="shared" si="12"/>
        <v/>
      </c>
      <c r="H234" s="73"/>
      <c r="I234" s="73"/>
      <c r="J234" s="112" t="str">
        <f t="shared" si="13"/>
        <v/>
      </c>
      <c r="K234" s="68"/>
    </row>
    <row r="235" spans="1:11" x14ac:dyDescent="0.2">
      <c r="A235" s="108"/>
      <c r="B235" s="72" t="str">
        <f>IF(A235&lt;&gt;"",'EDC - PARAMETRAGE'!$A$3,"")</f>
        <v/>
      </c>
      <c r="C235" s="72" t="str">
        <f>IF(A235&lt;&gt;"",VLOOKUP(A235,'EDC - PRODUCTION'!$A$7:$E$49,5,FALSE),"")</f>
        <v/>
      </c>
      <c r="D235" s="72" t="str">
        <f>IF(A235&lt;&gt;"",VLOOKUP(A235,'EDC - PRODUCTION'!$A$7:$I$49,4,FALSE),"")</f>
        <v/>
      </c>
      <c r="E235" s="44"/>
      <c r="F235" s="45" t="str">
        <f t="shared" si="11"/>
        <v/>
      </c>
      <c r="G235" s="56" t="str">
        <f t="shared" si="12"/>
        <v/>
      </c>
      <c r="H235" s="73"/>
      <c r="I235" s="73"/>
      <c r="J235" s="112" t="str">
        <f t="shared" si="13"/>
        <v/>
      </c>
      <c r="K235" s="68"/>
    </row>
    <row r="236" spans="1:11" x14ac:dyDescent="0.2">
      <c r="A236" s="108"/>
      <c r="B236" s="72" t="str">
        <f>IF(A236&lt;&gt;"",'EDC - PARAMETRAGE'!$A$3,"")</f>
        <v/>
      </c>
      <c r="C236" s="72" t="str">
        <f>IF(A236&lt;&gt;"",VLOOKUP(A236,'EDC - PRODUCTION'!$A$7:$E$49,5,FALSE),"")</f>
        <v/>
      </c>
      <c r="D236" s="72" t="str">
        <f>IF(A236&lt;&gt;"",VLOOKUP(A236,'EDC - PRODUCTION'!$A$7:$I$49,4,FALSE),"")</f>
        <v/>
      </c>
      <c r="E236" s="44"/>
      <c r="F236" s="45" t="str">
        <f t="shared" si="11"/>
        <v/>
      </c>
      <c r="G236" s="56" t="str">
        <f t="shared" si="12"/>
        <v/>
      </c>
      <c r="H236" s="73"/>
      <c r="I236" s="73"/>
      <c r="J236" s="112" t="str">
        <f t="shared" si="13"/>
        <v/>
      </c>
      <c r="K236" s="68"/>
    </row>
    <row r="237" spans="1:11" x14ac:dyDescent="0.2">
      <c r="A237" s="108"/>
      <c r="B237" s="72" t="str">
        <f>IF(A237&lt;&gt;"",'EDC - PARAMETRAGE'!$A$3,"")</f>
        <v/>
      </c>
      <c r="C237" s="72" t="str">
        <f>IF(A237&lt;&gt;"",VLOOKUP(A237,'EDC - PRODUCTION'!$A$7:$E$49,5,FALSE),"")</f>
        <v/>
      </c>
      <c r="D237" s="72" t="str">
        <f>IF(A237&lt;&gt;"",VLOOKUP(A237,'EDC - PRODUCTION'!$A$7:$I$49,4,FALSE),"")</f>
        <v/>
      </c>
      <c r="E237" s="44"/>
      <c r="F237" s="45" t="str">
        <f t="shared" si="11"/>
        <v/>
      </c>
      <c r="G237" s="56" t="str">
        <f t="shared" si="12"/>
        <v/>
      </c>
      <c r="H237" s="73"/>
      <c r="I237" s="73"/>
      <c r="J237" s="112" t="str">
        <f t="shared" si="13"/>
        <v/>
      </c>
      <c r="K237" s="68"/>
    </row>
    <row r="238" spans="1:11" x14ac:dyDescent="0.2">
      <c r="A238" s="108"/>
      <c r="B238" s="72" t="str">
        <f>IF(A238&lt;&gt;"",'EDC - PARAMETRAGE'!$A$3,"")</f>
        <v/>
      </c>
      <c r="C238" s="72" t="str">
        <f>IF(A238&lt;&gt;"",VLOOKUP(A238,'EDC - PRODUCTION'!$A$7:$E$49,5,FALSE),"")</f>
        <v/>
      </c>
      <c r="D238" s="72" t="str">
        <f>IF(A238&lt;&gt;"",VLOOKUP(A238,'EDC - PRODUCTION'!$A$7:$I$49,4,FALSE),"")</f>
        <v/>
      </c>
      <c r="E238" s="44"/>
      <c r="F238" s="45" t="str">
        <f t="shared" si="11"/>
        <v/>
      </c>
      <c r="G238" s="56" t="str">
        <f t="shared" si="12"/>
        <v/>
      </c>
      <c r="H238" s="73"/>
      <c r="I238" s="73"/>
      <c r="J238" s="112" t="str">
        <f t="shared" si="13"/>
        <v/>
      </c>
      <c r="K238" s="68"/>
    </row>
    <row r="239" spans="1:11" x14ac:dyDescent="0.2">
      <c r="A239" s="108"/>
      <c r="B239" s="72" t="str">
        <f>IF(A239&lt;&gt;"",'EDC - PARAMETRAGE'!$A$3,"")</f>
        <v/>
      </c>
      <c r="C239" s="72" t="str">
        <f>IF(A239&lt;&gt;"",VLOOKUP(A239,'EDC - PRODUCTION'!$A$7:$E$49,5,FALSE),"")</f>
        <v/>
      </c>
      <c r="D239" s="72" t="str">
        <f>IF(A239&lt;&gt;"",VLOOKUP(A239,'EDC - PRODUCTION'!$A$7:$I$49,4,FALSE),"")</f>
        <v/>
      </c>
      <c r="E239" s="44"/>
      <c r="F239" s="45" t="str">
        <f t="shared" si="11"/>
        <v/>
      </c>
      <c r="G239" s="56" t="str">
        <f t="shared" si="12"/>
        <v/>
      </c>
      <c r="H239" s="73"/>
      <c r="I239" s="73"/>
      <c r="J239" s="112" t="str">
        <f t="shared" si="13"/>
        <v/>
      </c>
      <c r="K239" s="68"/>
    </row>
    <row r="240" spans="1:11" x14ac:dyDescent="0.2">
      <c r="A240" s="108"/>
      <c r="B240" s="72" t="str">
        <f>IF(A240&lt;&gt;"",'EDC - PARAMETRAGE'!$A$3,"")</f>
        <v/>
      </c>
      <c r="C240" s="72" t="str">
        <f>IF(A240&lt;&gt;"",VLOOKUP(A240,'EDC - PRODUCTION'!$A$7:$E$49,5,FALSE),"")</f>
        <v/>
      </c>
      <c r="D240" s="72" t="str">
        <f>IF(A240&lt;&gt;"",VLOOKUP(A240,'EDC - PRODUCTION'!$A$7:$I$49,4,FALSE),"")</f>
        <v/>
      </c>
      <c r="E240" s="44"/>
      <c r="F240" s="45" t="str">
        <f t="shared" si="11"/>
        <v/>
      </c>
      <c r="G240" s="56" t="str">
        <f t="shared" si="12"/>
        <v/>
      </c>
      <c r="H240" s="73"/>
      <c r="I240" s="73"/>
      <c r="J240" s="112" t="str">
        <f t="shared" si="13"/>
        <v/>
      </c>
      <c r="K240" s="68"/>
    </row>
    <row r="241" spans="1:11" x14ac:dyDescent="0.2">
      <c r="A241" s="108"/>
      <c r="B241" s="72" t="str">
        <f>IF(A241&lt;&gt;"",'EDC - PARAMETRAGE'!$A$3,"")</f>
        <v/>
      </c>
      <c r="C241" s="72" t="str">
        <f>IF(A241&lt;&gt;"",VLOOKUP(A241,'EDC - PRODUCTION'!$A$7:$E$49,5,FALSE),"")</f>
        <v/>
      </c>
      <c r="D241" s="72" t="str">
        <f>IF(A241&lt;&gt;"",VLOOKUP(A241,'EDC - PRODUCTION'!$A$7:$I$49,4,FALSE),"")</f>
        <v/>
      </c>
      <c r="E241" s="44"/>
      <c r="F241" s="45" t="str">
        <f t="shared" si="11"/>
        <v/>
      </c>
      <c r="G241" s="56" t="str">
        <f t="shared" si="12"/>
        <v/>
      </c>
      <c r="H241" s="73"/>
      <c r="I241" s="73"/>
      <c r="J241" s="112" t="str">
        <f t="shared" si="13"/>
        <v/>
      </c>
      <c r="K241" s="68"/>
    </row>
    <row r="242" spans="1:11" x14ac:dyDescent="0.2">
      <c r="A242" s="108"/>
      <c r="B242" s="72" t="str">
        <f>IF(A242&lt;&gt;"",'EDC - PARAMETRAGE'!$A$3,"")</f>
        <v/>
      </c>
      <c r="C242" s="72" t="str">
        <f>IF(A242&lt;&gt;"",VLOOKUP(A242,'EDC - PRODUCTION'!$A$7:$E$49,5,FALSE),"")</f>
        <v/>
      </c>
      <c r="D242" s="72" t="str">
        <f>IF(A242&lt;&gt;"",VLOOKUP(A242,'EDC - PRODUCTION'!$A$7:$I$49,4,FALSE),"")</f>
        <v/>
      </c>
      <c r="E242" s="44"/>
      <c r="F242" s="45" t="str">
        <f t="shared" si="11"/>
        <v/>
      </c>
      <c r="G242" s="56" t="str">
        <f t="shared" si="12"/>
        <v/>
      </c>
      <c r="H242" s="73"/>
      <c r="I242" s="73"/>
      <c r="J242" s="112" t="str">
        <f t="shared" si="13"/>
        <v/>
      </c>
      <c r="K242" s="68"/>
    </row>
    <row r="243" spans="1:11" x14ac:dyDescent="0.2">
      <c r="A243" s="108"/>
      <c r="B243" s="72" t="str">
        <f>IF(A243&lt;&gt;"",'EDC - PARAMETRAGE'!$A$3,"")</f>
        <v/>
      </c>
      <c r="C243" s="72" t="str">
        <f>IF(A243&lt;&gt;"",VLOOKUP(A243,'EDC - PRODUCTION'!$A$7:$E$49,5,FALSE),"")</f>
        <v/>
      </c>
      <c r="D243" s="72" t="str">
        <f>IF(A243&lt;&gt;"",VLOOKUP(A243,'EDC - PRODUCTION'!$A$7:$I$49,4,FALSE),"")</f>
        <v/>
      </c>
      <c r="E243" s="44"/>
      <c r="F243" s="45" t="str">
        <f t="shared" si="11"/>
        <v/>
      </c>
      <c r="G243" s="56" t="str">
        <f t="shared" si="12"/>
        <v/>
      </c>
      <c r="H243" s="73"/>
      <c r="I243" s="73"/>
      <c r="J243" s="112" t="str">
        <f t="shared" si="13"/>
        <v/>
      </c>
      <c r="K243" s="68"/>
    </row>
    <row r="244" spans="1:11" x14ac:dyDescent="0.2">
      <c r="A244" s="108"/>
      <c r="B244" s="72" t="str">
        <f>IF(A244&lt;&gt;"",'EDC - PARAMETRAGE'!$A$3,"")</f>
        <v/>
      </c>
      <c r="C244" s="72" t="str">
        <f>IF(A244&lt;&gt;"",VLOOKUP(A244,'EDC - PRODUCTION'!$A$7:$E$49,5,FALSE),"")</f>
        <v/>
      </c>
      <c r="D244" s="72" t="str">
        <f>IF(A244&lt;&gt;"",VLOOKUP(A244,'EDC - PRODUCTION'!$A$7:$I$49,4,FALSE),"")</f>
        <v/>
      </c>
      <c r="E244" s="44"/>
      <c r="F244" s="45" t="str">
        <f t="shared" si="11"/>
        <v/>
      </c>
      <c r="G244" s="56" t="str">
        <f t="shared" si="12"/>
        <v/>
      </c>
      <c r="H244" s="73"/>
      <c r="I244" s="73"/>
      <c r="J244" s="112" t="str">
        <f t="shared" si="13"/>
        <v/>
      </c>
      <c r="K244" s="68"/>
    </row>
    <row r="245" spans="1:11" x14ac:dyDescent="0.2">
      <c r="A245" s="108"/>
      <c r="B245" s="72" t="str">
        <f>IF(A245&lt;&gt;"",'EDC - PARAMETRAGE'!$A$3,"")</f>
        <v/>
      </c>
      <c r="C245" s="72" t="str">
        <f>IF(A245&lt;&gt;"",VLOOKUP(A245,'EDC - PRODUCTION'!$A$7:$E$49,5,FALSE),"")</f>
        <v/>
      </c>
      <c r="D245" s="72" t="str">
        <f>IF(A245&lt;&gt;"",VLOOKUP(A245,'EDC - PRODUCTION'!$A$7:$I$49,4,FALSE),"")</f>
        <v/>
      </c>
      <c r="E245" s="44"/>
      <c r="F245" s="45" t="str">
        <f t="shared" si="11"/>
        <v/>
      </c>
      <c r="G245" s="56" t="str">
        <f t="shared" si="12"/>
        <v/>
      </c>
      <c r="H245" s="73"/>
      <c r="I245" s="73"/>
      <c r="J245" s="112" t="str">
        <f t="shared" si="13"/>
        <v/>
      </c>
      <c r="K245" s="68"/>
    </row>
    <row r="246" spans="1:11" x14ac:dyDescent="0.2">
      <c r="A246" s="108"/>
      <c r="B246" s="72" t="str">
        <f>IF(A246&lt;&gt;"",'EDC - PARAMETRAGE'!$A$3,"")</f>
        <v/>
      </c>
      <c r="C246" s="72" t="str">
        <f>IF(A246&lt;&gt;"",VLOOKUP(A246,'EDC - PRODUCTION'!$A$7:$E$49,5,FALSE),"")</f>
        <v/>
      </c>
      <c r="D246" s="72" t="str">
        <f>IF(A246&lt;&gt;"",VLOOKUP(A246,'EDC - PRODUCTION'!$A$7:$I$49,4,FALSE),"")</f>
        <v/>
      </c>
      <c r="E246" s="44"/>
      <c r="F246" s="45" t="str">
        <f t="shared" si="11"/>
        <v/>
      </c>
      <c r="G246" s="56" t="str">
        <f t="shared" si="12"/>
        <v/>
      </c>
      <c r="H246" s="73"/>
      <c r="I246" s="73"/>
      <c r="J246" s="112" t="str">
        <f t="shared" si="13"/>
        <v/>
      </c>
      <c r="K246" s="68"/>
    </row>
    <row r="247" spans="1:11" x14ac:dyDescent="0.2">
      <c r="A247" s="108"/>
      <c r="B247" s="72" t="str">
        <f>IF(A247&lt;&gt;"",'EDC - PARAMETRAGE'!$A$3,"")</f>
        <v/>
      </c>
      <c r="C247" s="72" t="str">
        <f>IF(A247&lt;&gt;"",VLOOKUP(A247,'EDC - PRODUCTION'!$A$7:$E$49,5,FALSE),"")</f>
        <v/>
      </c>
      <c r="D247" s="72" t="str">
        <f>IF(A247&lt;&gt;"",VLOOKUP(A247,'EDC - PRODUCTION'!$A$7:$I$49,4,FALSE),"")</f>
        <v/>
      </c>
      <c r="E247" s="44"/>
      <c r="F247" s="45" t="str">
        <f t="shared" si="11"/>
        <v/>
      </c>
      <c r="G247" s="56" t="str">
        <f t="shared" si="12"/>
        <v/>
      </c>
      <c r="H247" s="73"/>
      <c r="I247" s="73"/>
      <c r="J247" s="112" t="str">
        <f t="shared" si="13"/>
        <v/>
      </c>
      <c r="K247" s="68"/>
    </row>
    <row r="248" spans="1:11" x14ac:dyDescent="0.2">
      <c r="A248" s="108"/>
      <c r="B248" s="72" t="str">
        <f>IF(A248&lt;&gt;"",'EDC - PARAMETRAGE'!$A$3,"")</f>
        <v/>
      </c>
      <c r="C248" s="72" t="str">
        <f>IF(A248&lt;&gt;"",VLOOKUP(A248,'EDC - PRODUCTION'!$A$7:$E$49,5,FALSE),"")</f>
        <v/>
      </c>
      <c r="D248" s="72" t="str">
        <f>IF(A248&lt;&gt;"",VLOOKUP(A248,'EDC - PRODUCTION'!$A$7:$I$49,4,FALSE),"")</f>
        <v/>
      </c>
      <c r="E248" s="44"/>
      <c r="F248" s="45" t="str">
        <f t="shared" si="11"/>
        <v/>
      </c>
      <c r="G248" s="56" t="str">
        <f t="shared" si="12"/>
        <v/>
      </c>
      <c r="H248" s="73"/>
      <c r="I248" s="73"/>
      <c r="J248" s="112" t="str">
        <f t="shared" si="13"/>
        <v/>
      </c>
      <c r="K248" s="68"/>
    </row>
    <row r="249" spans="1:11" x14ac:dyDescent="0.2">
      <c r="A249" s="108"/>
      <c r="B249" s="72" t="str">
        <f>IF(A249&lt;&gt;"",'EDC - PARAMETRAGE'!$A$3,"")</f>
        <v/>
      </c>
      <c r="C249" s="72" t="str">
        <f>IF(A249&lt;&gt;"",VLOOKUP(A249,'EDC - PRODUCTION'!$A$7:$E$49,5,FALSE),"")</f>
        <v/>
      </c>
      <c r="D249" s="72" t="str">
        <f>IF(A249&lt;&gt;"",VLOOKUP(A249,'EDC - PRODUCTION'!$A$7:$I$49,4,FALSE),"")</f>
        <v/>
      </c>
      <c r="E249" s="44"/>
      <c r="F249" s="45" t="str">
        <f t="shared" si="11"/>
        <v/>
      </c>
      <c r="G249" s="56" t="str">
        <f t="shared" si="12"/>
        <v/>
      </c>
      <c r="H249" s="73"/>
      <c r="I249" s="73"/>
      <c r="J249" s="112" t="str">
        <f t="shared" si="13"/>
        <v/>
      </c>
      <c r="K249" s="68"/>
    </row>
    <row r="250" spans="1:11" x14ac:dyDescent="0.2">
      <c r="A250" s="108"/>
      <c r="B250" s="72" t="str">
        <f>IF(A250&lt;&gt;"",'EDC - PARAMETRAGE'!$A$3,"")</f>
        <v/>
      </c>
      <c r="C250" s="72" t="str">
        <f>IF(A250&lt;&gt;"",VLOOKUP(A250,'EDC - PRODUCTION'!$A$7:$E$49,5,FALSE),"")</f>
        <v/>
      </c>
      <c r="D250" s="72" t="str">
        <f>IF(A250&lt;&gt;"",VLOOKUP(A250,'EDC - PRODUCTION'!$A$7:$I$49,4,FALSE),"")</f>
        <v/>
      </c>
      <c r="E250" s="44"/>
      <c r="F250" s="45" t="str">
        <f t="shared" si="11"/>
        <v/>
      </c>
      <c r="G250" s="56" t="str">
        <f t="shared" si="12"/>
        <v/>
      </c>
      <c r="H250" s="73"/>
      <c r="I250" s="73"/>
      <c r="J250" s="112" t="str">
        <f t="shared" si="13"/>
        <v/>
      </c>
      <c r="K250" s="68"/>
    </row>
    <row r="251" spans="1:11" x14ac:dyDescent="0.2">
      <c r="A251" s="108"/>
      <c r="B251" s="72" t="str">
        <f>IF(A251&lt;&gt;"",'EDC - PARAMETRAGE'!$A$3,"")</f>
        <v/>
      </c>
      <c r="C251" s="72" t="str">
        <f>IF(A251&lt;&gt;"",VLOOKUP(A251,'EDC - PRODUCTION'!$A$7:$E$49,5,FALSE),"")</f>
        <v/>
      </c>
      <c r="D251" s="72" t="str">
        <f>IF(A251&lt;&gt;"",VLOOKUP(A251,'EDC - PRODUCTION'!$A$7:$I$49,4,FALSE),"")</f>
        <v/>
      </c>
      <c r="E251" s="44"/>
      <c r="F251" s="45" t="str">
        <f t="shared" si="11"/>
        <v/>
      </c>
      <c r="G251" s="56" t="str">
        <f t="shared" si="12"/>
        <v/>
      </c>
      <c r="H251" s="73"/>
      <c r="I251" s="73"/>
      <c r="J251" s="112" t="str">
        <f t="shared" si="13"/>
        <v/>
      </c>
      <c r="K251" s="68"/>
    </row>
    <row r="252" spans="1:11" x14ac:dyDescent="0.2">
      <c r="A252" s="108"/>
      <c r="B252" s="72" t="str">
        <f>IF(A252&lt;&gt;"",'EDC - PARAMETRAGE'!$A$3,"")</f>
        <v/>
      </c>
      <c r="C252" s="72" t="str">
        <f>IF(A252&lt;&gt;"",VLOOKUP(A252,'EDC - PRODUCTION'!$A$7:$E$49,5,FALSE),"")</f>
        <v/>
      </c>
      <c r="D252" s="72" t="str">
        <f>IF(A252&lt;&gt;"",VLOOKUP(A252,'EDC - PRODUCTION'!$A$7:$I$49,4,FALSE),"")</f>
        <v/>
      </c>
      <c r="E252" s="44"/>
      <c r="F252" s="45" t="str">
        <f t="shared" si="11"/>
        <v/>
      </c>
      <c r="G252" s="56" t="str">
        <f t="shared" si="12"/>
        <v/>
      </c>
      <c r="H252" s="73"/>
      <c r="I252" s="73"/>
      <c r="J252" s="112" t="str">
        <f t="shared" si="13"/>
        <v/>
      </c>
      <c r="K252" s="68"/>
    </row>
    <row r="253" spans="1:11" x14ac:dyDescent="0.2">
      <c r="A253" s="108"/>
      <c r="B253" s="72" t="str">
        <f>IF(A253&lt;&gt;"",'EDC - PARAMETRAGE'!$A$3,"")</f>
        <v/>
      </c>
      <c r="C253" s="72" t="str">
        <f>IF(A253&lt;&gt;"",VLOOKUP(A253,'EDC - PRODUCTION'!$A$7:$E$49,5,FALSE),"")</f>
        <v/>
      </c>
      <c r="D253" s="72" t="str">
        <f>IF(A253&lt;&gt;"",VLOOKUP(A253,'EDC - PRODUCTION'!$A$7:$I$49,4,FALSE),"")</f>
        <v/>
      </c>
      <c r="E253" s="44"/>
      <c r="F253" s="45" t="str">
        <f t="shared" si="11"/>
        <v/>
      </c>
      <c r="G253" s="56" t="str">
        <f t="shared" si="12"/>
        <v/>
      </c>
      <c r="H253" s="73"/>
      <c r="I253" s="73"/>
      <c r="J253" s="112" t="str">
        <f t="shared" si="13"/>
        <v/>
      </c>
      <c r="K253" s="68"/>
    </row>
    <row r="254" spans="1:11" x14ac:dyDescent="0.2">
      <c r="A254" s="108"/>
      <c r="B254" s="72" t="str">
        <f>IF(A254&lt;&gt;"",'EDC - PARAMETRAGE'!$A$3,"")</f>
        <v/>
      </c>
      <c r="C254" s="72" t="str">
        <f>IF(A254&lt;&gt;"",VLOOKUP(A254,'EDC - PRODUCTION'!$A$7:$E$49,5,FALSE),"")</f>
        <v/>
      </c>
      <c r="D254" s="72" t="str">
        <f>IF(A254&lt;&gt;"",VLOOKUP(A254,'EDC - PRODUCTION'!$A$7:$I$49,4,FALSE),"")</f>
        <v/>
      </c>
      <c r="E254" s="44"/>
      <c r="F254" s="45" t="str">
        <f t="shared" si="11"/>
        <v/>
      </c>
      <c r="G254" s="56" t="str">
        <f t="shared" si="12"/>
        <v/>
      </c>
      <c r="H254" s="73"/>
      <c r="I254" s="73"/>
      <c r="J254" s="112" t="str">
        <f t="shared" si="13"/>
        <v/>
      </c>
      <c r="K254" s="68"/>
    </row>
    <row r="255" spans="1:11" x14ac:dyDescent="0.2">
      <c r="A255" s="108"/>
      <c r="B255" s="72" t="str">
        <f>IF(A255&lt;&gt;"",'EDC - PARAMETRAGE'!$A$3,"")</f>
        <v/>
      </c>
      <c r="C255" s="72" t="str">
        <f>IF(A255&lt;&gt;"",VLOOKUP(A255,'EDC - PRODUCTION'!$A$7:$E$49,5,FALSE),"")</f>
        <v/>
      </c>
      <c r="D255" s="72" t="str">
        <f>IF(A255&lt;&gt;"",VLOOKUP(A255,'EDC - PRODUCTION'!$A$7:$I$49,4,FALSE),"")</f>
        <v/>
      </c>
      <c r="E255" s="44"/>
      <c r="F255" s="45" t="str">
        <f t="shared" si="11"/>
        <v/>
      </c>
      <c r="G255" s="56" t="str">
        <f t="shared" si="12"/>
        <v/>
      </c>
      <c r="H255" s="73"/>
      <c r="I255" s="73"/>
      <c r="J255" s="112" t="str">
        <f t="shared" si="13"/>
        <v/>
      </c>
      <c r="K255" s="68"/>
    </row>
    <row r="256" spans="1:11" x14ac:dyDescent="0.2">
      <c r="A256" s="108"/>
      <c r="B256" s="72" t="str">
        <f>IF(A256&lt;&gt;"",'EDC - PARAMETRAGE'!$A$3,"")</f>
        <v/>
      </c>
      <c r="C256" s="72" t="str">
        <f>IF(A256&lt;&gt;"",VLOOKUP(A256,'EDC - PRODUCTION'!$A$7:$E$49,5,FALSE),"")</f>
        <v/>
      </c>
      <c r="D256" s="72" t="str">
        <f>IF(A256&lt;&gt;"",VLOOKUP(A256,'EDC - PRODUCTION'!$A$7:$I$49,4,FALSE),"")</f>
        <v/>
      </c>
      <c r="E256" s="44"/>
      <c r="F256" s="45" t="str">
        <f t="shared" si="11"/>
        <v/>
      </c>
      <c r="G256" s="56" t="str">
        <f t="shared" si="12"/>
        <v/>
      </c>
      <c r="H256" s="73"/>
      <c r="I256" s="73"/>
      <c r="J256" s="112" t="str">
        <f t="shared" si="13"/>
        <v/>
      </c>
      <c r="K256" s="68"/>
    </row>
    <row r="257" spans="1:11" x14ac:dyDescent="0.2">
      <c r="A257" s="108"/>
      <c r="B257" s="72" t="str">
        <f>IF(A257&lt;&gt;"",'EDC - PARAMETRAGE'!$A$3,"")</f>
        <v/>
      </c>
      <c r="C257" s="72" t="str">
        <f>IF(A257&lt;&gt;"",VLOOKUP(A257,'EDC - PRODUCTION'!$A$7:$E$49,5,FALSE),"")</f>
        <v/>
      </c>
      <c r="D257" s="72" t="str">
        <f>IF(A257&lt;&gt;"",VLOOKUP(A257,'EDC - PRODUCTION'!$A$7:$I$49,4,FALSE),"")</f>
        <v/>
      </c>
      <c r="E257" s="44"/>
      <c r="F257" s="45" t="str">
        <f t="shared" si="11"/>
        <v/>
      </c>
      <c r="G257" s="56" t="str">
        <f t="shared" si="12"/>
        <v/>
      </c>
      <c r="H257" s="73"/>
      <c r="I257" s="73"/>
      <c r="J257" s="112" t="str">
        <f t="shared" si="13"/>
        <v/>
      </c>
      <c r="K257" s="68"/>
    </row>
    <row r="258" spans="1:11" x14ac:dyDescent="0.2">
      <c r="A258" s="108"/>
      <c r="B258" s="72" t="str">
        <f>IF(A258&lt;&gt;"",'EDC - PARAMETRAGE'!$A$3,"")</f>
        <v/>
      </c>
      <c r="C258" s="72" t="str">
        <f>IF(A258&lt;&gt;"",VLOOKUP(A258,'EDC - PRODUCTION'!$A$7:$E$49,5,FALSE),"")</f>
        <v/>
      </c>
      <c r="D258" s="72" t="str">
        <f>IF(A258&lt;&gt;"",VLOOKUP(A258,'EDC - PRODUCTION'!$A$7:$I$49,4,FALSE),"")</f>
        <v/>
      </c>
      <c r="E258" s="44"/>
      <c r="F258" s="45" t="str">
        <f t="shared" si="11"/>
        <v/>
      </c>
      <c r="G258" s="56" t="str">
        <f t="shared" si="12"/>
        <v/>
      </c>
      <c r="H258" s="73"/>
      <c r="I258" s="73"/>
      <c r="J258" s="112" t="str">
        <f t="shared" si="13"/>
        <v/>
      </c>
      <c r="K258" s="68"/>
    </row>
    <row r="259" spans="1:11" x14ac:dyDescent="0.2">
      <c r="A259" s="108"/>
      <c r="B259" s="72" t="str">
        <f>IF(A259&lt;&gt;"",'EDC - PARAMETRAGE'!$A$3,"")</f>
        <v/>
      </c>
      <c r="C259" s="72" t="str">
        <f>IF(A259&lt;&gt;"",VLOOKUP(A259,'EDC - PRODUCTION'!$A$7:$E$49,5,FALSE),"")</f>
        <v/>
      </c>
      <c r="D259" s="72" t="str">
        <f>IF(A259&lt;&gt;"",VLOOKUP(A259,'EDC - PRODUCTION'!$A$7:$I$49,4,FALSE),"")</f>
        <v/>
      </c>
      <c r="E259" s="44"/>
      <c r="F259" s="45" t="str">
        <f t="shared" si="11"/>
        <v/>
      </c>
      <c r="G259" s="56" t="str">
        <f t="shared" si="12"/>
        <v/>
      </c>
      <c r="H259" s="73"/>
      <c r="I259" s="73"/>
      <c r="J259" s="112" t="str">
        <f t="shared" si="13"/>
        <v/>
      </c>
      <c r="K259" s="68"/>
    </row>
    <row r="260" spans="1:11" x14ac:dyDescent="0.2">
      <c r="A260" s="108"/>
      <c r="B260" s="72" t="str">
        <f>IF(A260&lt;&gt;"",'EDC - PARAMETRAGE'!$A$3,"")</f>
        <v/>
      </c>
      <c r="C260" s="72" t="str">
        <f>IF(A260&lt;&gt;"",VLOOKUP(A260,'EDC - PRODUCTION'!$A$7:$E$49,5,FALSE),"")</f>
        <v/>
      </c>
      <c r="D260" s="72" t="str">
        <f>IF(A260&lt;&gt;"",VLOOKUP(A260,'EDC - PRODUCTION'!$A$7:$I$49,4,FALSE),"")</f>
        <v/>
      </c>
      <c r="E260" s="44"/>
      <c r="F260" s="45" t="str">
        <f t="shared" ref="F260:F323" si="14">IF(A260&lt;&gt;"","DDE","")</f>
        <v/>
      </c>
      <c r="G260" s="56" t="str">
        <f t="shared" ref="G260:G323" si="15">IF(A260&lt;&gt;"",1,"")</f>
        <v/>
      </c>
      <c r="H260" s="73"/>
      <c r="I260" s="73"/>
      <c r="J260" s="112" t="str">
        <f t="shared" ref="J260:J323" si="16">IF(A260&lt;&gt;"",SUM(H260:I260),"")</f>
        <v/>
      </c>
      <c r="K260" s="68"/>
    </row>
    <row r="261" spans="1:11" x14ac:dyDescent="0.2">
      <c r="A261" s="108"/>
      <c r="B261" s="72" t="str">
        <f>IF(A261&lt;&gt;"",'EDC - PARAMETRAGE'!$A$3,"")</f>
        <v/>
      </c>
      <c r="C261" s="72" t="str">
        <f>IF(A261&lt;&gt;"",VLOOKUP(A261,'EDC - PRODUCTION'!$A$7:$E$49,5,FALSE),"")</f>
        <v/>
      </c>
      <c r="D261" s="72" t="str">
        <f>IF(A261&lt;&gt;"",VLOOKUP(A261,'EDC - PRODUCTION'!$A$7:$I$49,4,FALSE),"")</f>
        <v/>
      </c>
      <c r="E261" s="44"/>
      <c r="F261" s="45" t="str">
        <f t="shared" si="14"/>
        <v/>
      </c>
      <c r="G261" s="56" t="str">
        <f t="shared" si="15"/>
        <v/>
      </c>
      <c r="H261" s="73"/>
      <c r="I261" s="73"/>
      <c r="J261" s="112" t="str">
        <f t="shared" si="16"/>
        <v/>
      </c>
      <c r="K261" s="68"/>
    </row>
    <row r="262" spans="1:11" x14ac:dyDescent="0.2">
      <c r="A262" s="108"/>
      <c r="B262" s="72" t="str">
        <f>IF(A262&lt;&gt;"",'EDC - PARAMETRAGE'!$A$3,"")</f>
        <v/>
      </c>
      <c r="C262" s="72" t="str">
        <f>IF(A262&lt;&gt;"",VLOOKUP(A262,'EDC - PRODUCTION'!$A$7:$E$49,5,FALSE),"")</f>
        <v/>
      </c>
      <c r="D262" s="72" t="str">
        <f>IF(A262&lt;&gt;"",VLOOKUP(A262,'EDC - PRODUCTION'!$A$7:$I$49,4,FALSE),"")</f>
        <v/>
      </c>
      <c r="E262" s="44"/>
      <c r="F262" s="45" t="str">
        <f t="shared" si="14"/>
        <v/>
      </c>
      <c r="G262" s="56" t="str">
        <f t="shared" si="15"/>
        <v/>
      </c>
      <c r="H262" s="73"/>
      <c r="I262" s="73"/>
      <c r="J262" s="112" t="str">
        <f t="shared" si="16"/>
        <v/>
      </c>
      <c r="K262" s="68"/>
    </row>
    <row r="263" spans="1:11" x14ac:dyDescent="0.2">
      <c r="A263" s="108"/>
      <c r="B263" s="72" t="str">
        <f>IF(A263&lt;&gt;"",'EDC - PARAMETRAGE'!$A$3,"")</f>
        <v/>
      </c>
      <c r="C263" s="72" t="str">
        <f>IF(A263&lt;&gt;"",VLOOKUP(A263,'EDC - PRODUCTION'!$A$7:$E$49,5,FALSE),"")</f>
        <v/>
      </c>
      <c r="D263" s="72" t="str">
        <f>IF(A263&lt;&gt;"",VLOOKUP(A263,'EDC - PRODUCTION'!$A$7:$I$49,4,FALSE),"")</f>
        <v/>
      </c>
      <c r="E263" s="44"/>
      <c r="F263" s="45" t="str">
        <f t="shared" si="14"/>
        <v/>
      </c>
      <c r="G263" s="56" t="str">
        <f t="shared" si="15"/>
        <v/>
      </c>
      <c r="H263" s="73"/>
      <c r="I263" s="73"/>
      <c r="J263" s="112" t="str">
        <f t="shared" si="16"/>
        <v/>
      </c>
      <c r="K263" s="68"/>
    </row>
    <row r="264" spans="1:11" x14ac:dyDescent="0.2">
      <c r="A264" s="108"/>
      <c r="B264" s="72" t="str">
        <f>IF(A264&lt;&gt;"",'EDC - PARAMETRAGE'!$A$3,"")</f>
        <v/>
      </c>
      <c r="C264" s="72" t="str">
        <f>IF(A264&lt;&gt;"",VLOOKUP(A264,'EDC - PRODUCTION'!$A$7:$E$49,5,FALSE),"")</f>
        <v/>
      </c>
      <c r="D264" s="72" t="str">
        <f>IF(A264&lt;&gt;"",VLOOKUP(A264,'EDC - PRODUCTION'!$A$7:$I$49,4,FALSE),"")</f>
        <v/>
      </c>
      <c r="E264" s="44"/>
      <c r="F264" s="45" t="str">
        <f t="shared" si="14"/>
        <v/>
      </c>
      <c r="G264" s="56" t="str">
        <f t="shared" si="15"/>
        <v/>
      </c>
      <c r="H264" s="73"/>
      <c r="I264" s="73"/>
      <c r="J264" s="112" t="str">
        <f t="shared" si="16"/>
        <v/>
      </c>
      <c r="K264" s="68"/>
    </row>
    <row r="265" spans="1:11" x14ac:dyDescent="0.2">
      <c r="A265" s="108"/>
      <c r="B265" s="72" t="str">
        <f>IF(A265&lt;&gt;"",'EDC - PARAMETRAGE'!$A$3,"")</f>
        <v/>
      </c>
      <c r="C265" s="72" t="str">
        <f>IF(A265&lt;&gt;"",VLOOKUP(A265,'EDC - PRODUCTION'!$A$7:$E$49,5,FALSE),"")</f>
        <v/>
      </c>
      <c r="D265" s="72" t="str">
        <f>IF(A265&lt;&gt;"",VLOOKUP(A265,'EDC - PRODUCTION'!$A$7:$I$49,4,FALSE),"")</f>
        <v/>
      </c>
      <c r="E265" s="44"/>
      <c r="F265" s="45" t="str">
        <f t="shared" si="14"/>
        <v/>
      </c>
      <c r="G265" s="56" t="str">
        <f t="shared" si="15"/>
        <v/>
      </c>
      <c r="H265" s="73"/>
      <c r="I265" s="73"/>
      <c r="J265" s="112" t="str">
        <f t="shared" si="16"/>
        <v/>
      </c>
      <c r="K265" s="68"/>
    </row>
    <row r="266" spans="1:11" x14ac:dyDescent="0.2">
      <c r="A266" s="108"/>
      <c r="B266" s="72" t="str">
        <f>IF(A266&lt;&gt;"",'EDC - PARAMETRAGE'!$A$3,"")</f>
        <v/>
      </c>
      <c r="C266" s="72" t="str">
        <f>IF(A266&lt;&gt;"",VLOOKUP(A266,'EDC - PRODUCTION'!$A$7:$E$49,5,FALSE),"")</f>
        <v/>
      </c>
      <c r="D266" s="72" t="str">
        <f>IF(A266&lt;&gt;"",VLOOKUP(A266,'EDC - PRODUCTION'!$A$7:$I$49,4,FALSE),"")</f>
        <v/>
      </c>
      <c r="E266" s="44"/>
      <c r="F266" s="45" t="str">
        <f t="shared" si="14"/>
        <v/>
      </c>
      <c r="G266" s="56" t="str">
        <f t="shared" si="15"/>
        <v/>
      </c>
      <c r="H266" s="73"/>
      <c r="I266" s="73"/>
      <c r="J266" s="112" t="str">
        <f t="shared" si="16"/>
        <v/>
      </c>
      <c r="K266" s="68"/>
    </row>
    <row r="267" spans="1:11" x14ac:dyDescent="0.2">
      <c r="A267" s="108"/>
      <c r="B267" s="72" t="str">
        <f>IF(A267&lt;&gt;"",'EDC - PARAMETRAGE'!$A$3,"")</f>
        <v/>
      </c>
      <c r="C267" s="72" t="str">
        <f>IF(A267&lt;&gt;"",VLOOKUP(A267,'EDC - PRODUCTION'!$A$7:$E$49,5,FALSE),"")</f>
        <v/>
      </c>
      <c r="D267" s="72" t="str">
        <f>IF(A267&lt;&gt;"",VLOOKUP(A267,'EDC - PRODUCTION'!$A$7:$I$49,4,FALSE),"")</f>
        <v/>
      </c>
      <c r="E267" s="44"/>
      <c r="F267" s="45" t="str">
        <f t="shared" si="14"/>
        <v/>
      </c>
      <c r="G267" s="56" t="str">
        <f t="shared" si="15"/>
        <v/>
      </c>
      <c r="H267" s="73"/>
      <c r="I267" s="73"/>
      <c r="J267" s="112" t="str">
        <f t="shared" si="16"/>
        <v/>
      </c>
      <c r="K267" s="68"/>
    </row>
    <row r="268" spans="1:11" x14ac:dyDescent="0.2">
      <c r="A268" s="108"/>
      <c r="B268" s="72" t="str">
        <f>IF(A268&lt;&gt;"",'EDC - PARAMETRAGE'!$A$3,"")</f>
        <v/>
      </c>
      <c r="C268" s="72" t="str">
        <f>IF(A268&lt;&gt;"",VLOOKUP(A268,'EDC - PRODUCTION'!$A$7:$E$49,5,FALSE),"")</f>
        <v/>
      </c>
      <c r="D268" s="72" t="str">
        <f>IF(A268&lt;&gt;"",VLOOKUP(A268,'EDC - PRODUCTION'!$A$7:$I$49,4,FALSE),"")</f>
        <v/>
      </c>
      <c r="E268" s="44"/>
      <c r="F268" s="45" t="str">
        <f t="shared" si="14"/>
        <v/>
      </c>
      <c r="G268" s="56" t="str">
        <f t="shared" si="15"/>
        <v/>
      </c>
      <c r="H268" s="73"/>
      <c r="I268" s="73"/>
      <c r="J268" s="112" t="str">
        <f t="shared" si="16"/>
        <v/>
      </c>
      <c r="K268" s="68"/>
    </row>
    <row r="269" spans="1:11" x14ac:dyDescent="0.2">
      <c r="A269" s="108"/>
      <c r="B269" s="72" t="str">
        <f>IF(A269&lt;&gt;"",'EDC - PARAMETRAGE'!$A$3,"")</f>
        <v/>
      </c>
      <c r="C269" s="72" t="str">
        <f>IF(A269&lt;&gt;"",VLOOKUP(A269,'EDC - PRODUCTION'!$A$7:$E$49,5,FALSE),"")</f>
        <v/>
      </c>
      <c r="D269" s="72" t="str">
        <f>IF(A269&lt;&gt;"",VLOOKUP(A269,'EDC - PRODUCTION'!$A$7:$I$49,4,FALSE),"")</f>
        <v/>
      </c>
      <c r="E269" s="44"/>
      <c r="F269" s="45" t="str">
        <f t="shared" si="14"/>
        <v/>
      </c>
      <c r="G269" s="56" t="str">
        <f t="shared" si="15"/>
        <v/>
      </c>
      <c r="H269" s="73"/>
      <c r="I269" s="73"/>
      <c r="J269" s="112" t="str">
        <f t="shared" si="16"/>
        <v/>
      </c>
      <c r="K269" s="68"/>
    </row>
    <row r="270" spans="1:11" x14ac:dyDescent="0.2">
      <c r="A270" s="108"/>
      <c r="B270" s="72" t="str">
        <f>IF(A270&lt;&gt;"",'EDC - PARAMETRAGE'!$A$3,"")</f>
        <v/>
      </c>
      <c r="C270" s="72" t="str">
        <f>IF(A270&lt;&gt;"",VLOOKUP(A270,'EDC - PRODUCTION'!$A$7:$E$49,5,FALSE),"")</f>
        <v/>
      </c>
      <c r="D270" s="72" t="str">
        <f>IF(A270&lt;&gt;"",VLOOKUP(A270,'EDC - PRODUCTION'!$A$7:$I$49,4,FALSE),"")</f>
        <v/>
      </c>
      <c r="E270" s="44"/>
      <c r="F270" s="45" t="str">
        <f t="shared" si="14"/>
        <v/>
      </c>
      <c r="G270" s="56" t="str">
        <f t="shared" si="15"/>
        <v/>
      </c>
      <c r="H270" s="73"/>
      <c r="I270" s="73"/>
      <c r="J270" s="112" t="str">
        <f t="shared" si="16"/>
        <v/>
      </c>
      <c r="K270" s="68"/>
    </row>
    <row r="271" spans="1:11" x14ac:dyDescent="0.2">
      <c r="A271" s="108"/>
      <c r="B271" s="72" t="str">
        <f>IF(A271&lt;&gt;"",'EDC - PARAMETRAGE'!$A$3,"")</f>
        <v/>
      </c>
      <c r="C271" s="72" t="str">
        <f>IF(A271&lt;&gt;"",VLOOKUP(A271,'EDC - PRODUCTION'!$A$7:$E$49,5,FALSE),"")</f>
        <v/>
      </c>
      <c r="D271" s="72" t="str">
        <f>IF(A271&lt;&gt;"",VLOOKUP(A271,'EDC - PRODUCTION'!$A$7:$I$49,4,FALSE),"")</f>
        <v/>
      </c>
      <c r="E271" s="44"/>
      <c r="F271" s="45" t="str">
        <f t="shared" si="14"/>
        <v/>
      </c>
      <c r="G271" s="56" t="str">
        <f t="shared" si="15"/>
        <v/>
      </c>
      <c r="H271" s="73"/>
      <c r="I271" s="73"/>
      <c r="J271" s="112" t="str">
        <f t="shared" si="16"/>
        <v/>
      </c>
      <c r="K271" s="68"/>
    </row>
    <row r="272" spans="1:11" x14ac:dyDescent="0.2">
      <c r="A272" s="108"/>
      <c r="B272" s="72" t="str">
        <f>IF(A272&lt;&gt;"",'EDC - PARAMETRAGE'!$A$3,"")</f>
        <v/>
      </c>
      <c r="C272" s="72" t="str">
        <f>IF(A272&lt;&gt;"",VLOOKUP(A272,'EDC - PRODUCTION'!$A$7:$E$49,5,FALSE),"")</f>
        <v/>
      </c>
      <c r="D272" s="72" t="str">
        <f>IF(A272&lt;&gt;"",VLOOKUP(A272,'EDC - PRODUCTION'!$A$7:$I$49,4,FALSE),"")</f>
        <v/>
      </c>
      <c r="E272" s="44"/>
      <c r="F272" s="45" t="str">
        <f t="shared" si="14"/>
        <v/>
      </c>
      <c r="G272" s="56" t="str">
        <f t="shared" si="15"/>
        <v/>
      </c>
      <c r="H272" s="73"/>
      <c r="I272" s="73"/>
      <c r="J272" s="112" t="str">
        <f t="shared" si="16"/>
        <v/>
      </c>
      <c r="K272" s="68"/>
    </row>
    <row r="273" spans="1:11" x14ac:dyDescent="0.2">
      <c r="A273" s="108"/>
      <c r="B273" s="72" t="str">
        <f>IF(A273&lt;&gt;"",'EDC - PARAMETRAGE'!$A$3,"")</f>
        <v/>
      </c>
      <c r="C273" s="72" t="str">
        <f>IF(A273&lt;&gt;"",VLOOKUP(A273,'EDC - PRODUCTION'!$A$7:$E$49,5,FALSE),"")</f>
        <v/>
      </c>
      <c r="D273" s="72" t="str">
        <f>IF(A273&lt;&gt;"",VLOOKUP(A273,'EDC - PRODUCTION'!$A$7:$I$49,4,FALSE),"")</f>
        <v/>
      </c>
      <c r="E273" s="44"/>
      <c r="F273" s="45" t="str">
        <f t="shared" si="14"/>
        <v/>
      </c>
      <c r="G273" s="56" t="str">
        <f t="shared" si="15"/>
        <v/>
      </c>
      <c r="H273" s="73"/>
      <c r="I273" s="73"/>
      <c r="J273" s="112" t="str">
        <f t="shared" si="16"/>
        <v/>
      </c>
      <c r="K273" s="68"/>
    </row>
    <row r="274" spans="1:11" x14ac:dyDescent="0.2">
      <c r="A274" s="108"/>
      <c r="B274" s="72" t="str">
        <f>IF(A274&lt;&gt;"",'EDC - PARAMETRAGE'!$A$3,"")</f>
        <v/>
      </c>
      <c r="C274" s="72" t="str">
        <f>IF(A274&lt;&gt;"",VLOOKUP(A274,'EDC - PRODUCTION'!$A$7:$E$49,5,FALSE),"")</f>
        <v/>
      </c>
      <c r="D274" s="72" t="str">
        <f>IF(A274&lt;&gt;"",VLOOKUP(A274,'EDC - PRODUCTION'!$A$7:$I$49,4,FALSE),"")</f>
        <v/>
      </c>
      <c r="E274" s="44"/>
      <c r="F274" s="45" t="str">
        <f t="shared" si="14"/>
        <v/>
      </c>
      <c r="G274" s="56" t="str">
        <f t="shared" si="15"/>
        <v/>
      </c>
      <c r="H274" s="73"/>
      <c r="I274" s="73"/>
      <c r="J274" s="112" t="str">
        <f t="shared" si="16"/>
        <v/>
      </c>
      <c r="K274" s="68"/>
    </row>
    <row r="275" spans="1:11" x14ac:dyDescent="0.2">
      <c r="A275" s="108"/>
      <c r="B275" s="72" t="str">
        <f>IF(A275&lt;&gt;"",'EDC - PARAMETRAGE'!$A$3,"")</f>
        <v/>
      </c>
      <c r="C275" s="72" t="str">
        <f>IF(A275&lt;&gt;"",VLOOKUP(A275,'EDC - PRODUCTION'!$A$7:$E$49,5,FALSE),"")</f>
        <v/>
      </c>
      <c r="D275" s="72" t="str">
        <f>IF(A275&lt;&gt;"",VLOOKUP(A275,'EDC - PRODUCTION'!$A$7:$I$49,4,FALSE),"")</f>
        <v/>
      </c>
      <c r="E275" s="44"/>
      <c r="F275" s="45" t="str">
        <f t="shared" si="14"/>
        <v/>
      </c>
      <c r="G275" s="56" t="str">
        <f t="shared" si="15"/>
        <v/>
      </c>
      <c r="H275" s="73"/>
      <c r="I275" s="73"/>
      <c r="J275" s="112" t="str">
        <f t="shared" si="16"/>
        <v/>
      </c>
      <c r="K275" s="68"/>
    </row>
    <row r="276" spans="1:11" x14ac:dyDescent="0.2">
      <c r="A276" s="108"/>
      <c r="B276" s="72" t="str">
        <f>IF(A276&lt;&gt;"",'EDC - PARAMETRAGE'!$A$3,"")</f>
        <v/>
      </c>
      <c r="C276" s="72" t="str">
        <f>IF(A276&lt;&gt;"",VLOOKUP(A276,'EDC - PRODUCTION'!$A$7:$E$49,5,FALSE),"")</f>
        <v/>
      </c>
      <c r="D276" s="72" t="str">
        <f>IF(A276&lt;&gt;"",VLOOKUP(A276,'EDC - PRODUCTION'!$A$7:$I$49,4,FALSE),"")</f>
        <v/>
      </c>
      <c r="E276" s="44"/>
      <c r="F276" s="45" t="str">
        <f t="shared" si="14"/>
        <v/>
      </c>
      <c r="G276" s="56" t="str">
        <f t="shared" si="15"/>
        <v/>
      </c>
      <c r="H276" s="73"/>
      <c r="I276" s="73"/>
      <c r="J276" s="112" t="str">
        <f t="shared" si="16"/>
        <v/>
      </c>
      <c r="K276" s="68"/>
    </row>
    <row r="277" spans="1:11" x14ac:dyDescent="0.2">
      <c r="A277" s="108"/>
      <c r="B277" s="72" t="str">
        <f>IF(A277&lt;&gt;"",'EDC - PARAMETRAGE'!$A$3,"")</f>
        <v/>
      </c>
      <c r="C277" s="72" t="str">
        <f>IF(A277&lt;&gt;"",VLOOKUP(A277,'EDC - PRODUCTION'!$A$7:$E$49,5,FALSE),"")</f>
        <v/>
      </c>
      <c r="D277" s="72" t="str">
        <f>IF(A277&lt;&gt;"",VLOOKUP(A277,'EDC - PRODUCTION'!$A$7:$I$49,4,FALSE),"")</f>
        <v/>
      </c>
      <c r="E277" s="44"/>
      <c r="F277" s="45" t="str">
        <f t="shared" si="14"/>
        <v/>
      </c>
      <c r="G277" s="56" t="str">
        <f t="shared" si="15"/>
        <v/>
      </c>
      <c r="H277" s="73"/>
      <c r="I277" s="73"/>
      <c r="J277" s="112" t="str">
        <f t="shared" si="16"/>
        <v/>
      </c>
      <c r="K277" s="68"/>
    </row>
    <row r="278" spans="1:11" x14ac:dyDescent="0.2">
      <c r="A278" s="108"/>
      <c r="B278" s="72" t="str">
        <f>IF(A278&lt;&gt;"",'EDC - PARAMETRAGE'!$A$3,"")</f>
        <v/>
      </c>
      <c r="C278" s="72" t="str">
        <f>IF(A278&lt;&gt;"",VLOOKUP(A278,'EDC - PRODUCTION'!$A$7:$E$49,5,FALSE),"")</f>
        <v/>
      </c>
      <c r="D278" s="72" t="str">
        <f>IF(A278&lt;&gt;"",VLOOKUP(A278,'EDC - PRODUCTION'!$A$7:$I$49,4,FALSE),"")</f>
        <v/>
      </c>
      <c r="E278" s="44"/>
      <c r="F278" s="45" t="str">
        <f t="shared" si="14"/>
        <v/>
      </c>
      <c r="G278" s="56" t="str">
        <f t="shared" si="15"/>
        <v/>
      </c>
      <c r="H278" s="73"/>
      <c r="I278" s="73"/>
      <c r="J278" s="112" t="str">
        <f t="shared" si="16"/>
        <v/>
      </c>
      <c r="K278" s="68"/>
    </row>
    <row r="279" spans="1:11" x14ac:dyDescent="0.2">
      <c r="A279" s="108"/>
      <c r="B279" s="72" t="str">
        <f>IF(A279&lt;&gt;"",'EDC - PARAMETRAGE'!$A$3,"")</f>
        <v/>
      </c>
      <c r="C279" s="72" t="str">
        <f>IF(A279&lt;&gt;"",VLOOKUP(A279,'EDC - PRODUCTION'!$A$7:$E$49,5,FALSE),"")</f>
        <v/>
      </c>
      <c r="D279" s="72" t="str">
        <f>IF(A279&lt;&gt;"",VLOOKUP(A279,'EDC - PRODUCTION'!$A$7:$I$49,4,FALSE),"")</f>
        <v/>
      </c>
      <c r="E279" s="44"/>
      <c r="F279" s="45" t="str">
        <f t="shared" si="14"/>
        <v/>
      </c>
      <c r="G279" s="56" t="str">
        <f t="shared" si="15"/>
        <v/>
      </c>
      <c r="H279" s="73"/>
      <c r="I279" s="73"/>
      <c r="J279" s="112" t="str">
        <f t="shared" si="16"/>
        <v/>
      </c>
      <c r="K279" s="68"/>
    </row>
    <row r="280" spans="1:11" x14ac:dyDescent="0.2">
      <c r="A280" s="108"/>
      <c r="B280" s="72" t="str">
        <f>IF(A280&lt;&gt;"",'EDC - PARAMETRAGE'!$A$3,"")</f>
        <v/>
      </c>
      <c r="C280" s="72" t="str">
        <f>IF(A280&lt;&gt;"",VLOOKUP(A280,'EDC - PRODUCTION'!$A$7:$E$49,5,FALSE),"")</f>
        <v/>
      </c>
      <c r="D280" s="72" t="str">
        <f>IF(A280&lt;&gt;"",VLOOKUP(A280,'EDC - PRODUCTION'!$A$7:$I$49,4,FALSE),"")</f>
        <v/>
      </c>
      <c r="E280" s="44"/>
      <c r="F280" s="45" t="str">
        <f t="shared" si="14"/>
        <v/>
      </c>
      <c r="G280" s="56" t="str">
        <f t="shared" si="15"/>
        <v/>
      </c>
      <c r="H280" s="73"/>
      <c r="I280" s="73"/>
      <c r="J280" s="112" t="str">
        <f t="shared" si="16"/>
        <v/>
      </c>
      <c r="K280" s="68"/>
    </row>
    <row r="281" spans="1:11" x14ac:dyDescent="0.2">
      <c r="A281" s="108"/>
      <c r="B281" s="72" t="str">
        <f>IF(A281&lt;&gt;"",'EDC - PARAMETRAGE'!$A$3,"")</f>
        <v/>
      </c>
      <c r="C281" s="72" t="str">
        <f>IF(A281&lt;&gt;"",VLOOKUP(A281,'EDC - PRODUCTION'!$A$7:$E$49,5,FALSE),"")</f>
        <v/>
      </c>
      <c r="D281" s="72" t="str">
        <f>IF(A281&lt;&gt;"",VLOOKUP(A281,'EDC - PRODUCTION'!$A$7:$I$49,4,FALSE),"")</f>
        <v/>
      </c>
      <c r="E281" s="44"/>
      <c r="F281" s="45" t="str">
        <f t="shared" si="14"/>
        <v/>
      </c>
      <c r="G281" s="56" t="str">
        <f t="shared" si="15"/>
        <v/>
      </c>
      <c r="H281" s="73"/>
      <c r="I281" s="73"/>
      <c r="J281" s="112" t="str">
        <f t="shared" si="16"/>
        <v/>
      </c>
      <c r="K281" s="68"/>
    </row>
    <row r="282" spans="1:11" x14ac:dyDescent="0.2">
      <c r="A282" s="108"/>
      <c r="B282" s="72" t="str">
        <f>IF(A282&lt;&gt;"",'EDC - PARAMETRAGE'!$A$3,"")</f>
        <v/>
      </c>
      <c r="C282" s="72" t="str">
        <f>IF(A282&lt;&gt;"",VLOOKUP(A282,'EDC - PRODUCTION'!$A$7:$E$49,5,FALSE),"")</f>
        <v/>
      </c>
      <c r="D282" s="72" t="str">
        <f>IF(A282&lt;&gt;"",VLOOKUP(A282,'EDC - PRODUCTION'!$A$7:$I$49,4,FALSE),"")</f>
        <v/>
      </c>
      <c r="E282" s="44"/>
      <c r="F282" s="45" t="str">
        <f t="shared" si="14"/>
        <v/>
      </c>
      <c r="G282" s="56" t="str">
        <f t="shared" si="15"/>
        <v/>
      </c>
      <c r="H282" s="73"/>
      <c r="I282" s="73"/>
      <c r="J282" s="112" t="str">
        <f t="shared" si="16"/>
        <v/>
      </c>
      <c r="K282" s="68"/>
    </row>
    <row r="283" spans="1:11" x14ac:dyDescent="0.2">
      <c r="A283" s="108"/>
      <c r="B283" s="72" t="str">
        <f>IF(A283&lt;&gt;"",'EDC - PARAMETRAGE'!$A$3,"")</f>
        <v/>
      </c>
      <c r="C283" s="72" t="str">
        <f>IF(A283&lt;&gt;"",VLOOKUP(A283,'EDC - PRODUCTION'!$A$7:$E$49,5,FALSE),"")</f>
        <v/>
      </c>
      <c r="D283" s="72" t="str">
        <f>IF(A283&lt;&gt;"",VLOOKUP(A283,'EDC - PRODUCTION'!$A$7:$I$49,4,FALSE),"")</f>
        <v/>
      </c>
      <c r="E283" s="44"/>
      <c r="F283" s="45" t="str">
        <f t="shared" si="14"/>
        <v/>
      </c>
      <c r="G283" s="56" t="str">
        <f t="shared" si="15"/>
        <v/>
      </c>
      <c r="H283" s="73"/>
      <c r="I283" s="73"/>
      <c r="J283" s="112" t="str">
        <f t="shared" si="16"/>
        <v/>
      </c>
      <c r="K283" s="68"/>
    </row>
    <row r="284" spans="1:11" x14ac:dyDescent="0.2">
      <c r="A284" s="108"/>
      <c r="B284" s="72" t="str">
        <f>IF(A284&lt;&gt;"",'EDC - PARAMETRAGE'!$A$3,"")</f>
        <v/>
      </c>
      <c r="C284" s="72" t="str">
        <f>IF(A284&lt;&gt;"",VLOOKUP(A284,'EDC - PRODUCTION'!$A$7:$E$49,5,FALSE),"")</f>
        <v/>
      </c>
      <c r="D284" s="72" t="str">
        <f>IF(A284&lt;&gt;"",VLOOKUP(A284,'EDC - PRODUCTION'!$A$7:$I$49,4,FALSE),"")</f>
        <v/>
      </c>
      <c r="E284" s="44"/>
      <c r="F284" s="45" t="str">
        <f t="shared" si="14"/>
        <v/>
      </c>
      <c r="G284" s="56" t="str">
        <f t="shared" si="15"/>
        <v/>
      </c>
      <c r="H284" s="73"/>
      <c r="I284" s="73"/>
      <c r="J284" s="112" t="str">
        <f t="shared" si="16"/>
        <v/>
      </c>
      <c r="K284" s="68"/>
    </row>
    <row r="285" spans="1:11" x14ac:dyDescent="0.2">
      <c r="A285" s="108"/>
      <c r="B285" s="72" t="str">
        <f>IF(A285&lt;&gt;"",'EDC - PARAMETRAGE'!$A$3,"")</f>
        <v/>
      </c>
      <c r="C285" s="72" t="str">
        <f>IF(A285&lt;&gt;"",VLOOKUP(A285,'EDC - PRODUCTION'!$A$7:$E$49,5,FALSE),"")</f>
        <v/>
      </c>
      <c r="D285" s="72" t="str">
        <f>IF(A285&lt;&gt;"",VLOOKUP(A285,'EDC - PRODUCTION'!$A$7:$I$49,4,FALSE),"")</f>
        <v/>
      </c>
      <c r="E285" s="44"/>
      <c r="F285" s="45" t="str">
        <f t="shared" si="14"/>
        <v/>
      </c>
      <c r="G285" s="56" t="str">
        <f t="shared" si="15"/>
        <v/>
      </c>
      <c r="H285" s="73"/>
      <c r="I285" s="73"/>
      <c r="J285" s="112" t="str">
        <f t="shared" si="16"/>
        <v/>
      </c>
      <c r="K285" s="68"/>
    </row>
    <row r="286" spans="1:11" x14ac:dyDescent="0.2">
      <c r="A286" s="108"/>
      <c r="B286" s="72" t="str">
        <f>IF(A286&lt;&gt;"",'EDC - PARAMETRAGE'!$A$3,"")</f>
        <v/>
      </c>
      <c r="C286" s="72" t="str">
        <f>IF(A286&lt;&gt;"",VLOOKUP(A286,'EDC - PRODUCTION'!$A$7:$E$49,5,FALSE),"")</f>
        <v/>
      </c>
      <c r="D286" s="72" t="str">
        <f>IF(A286&lt;&gt;"",VLOOKUP(A286,'EDC - PRODUCTION'!$A$7:$I$49,4,FALSE),"")</f>
        <v/>
      </c>
      <c r="E286" s="44"/>
      <c r="F286" s="45" t="str">
        <f t="shared" si="14"/>
        <v/>
      </c>
      <c r="G286" s="56" t="str">
        <f t="shared" si="15"/>
        <v/>
      </c>
      <c r="H286" s="73"/>
      <c r="I286" s="73"/>
      <c r="J286" s="112" t="str">
        <f t="shared" si="16"/>
        <v/>
      </c>
      <c r="K286" s="68"/>
    </row>
    <row r="287" spans="1:11" x14ac:dyDescent="0.2">
      <c r="A287" s="108"/>
      <c r="B287" s="72" t="str">
        <f>IF(A287&lt;&gt;"",'EDC - PARAMETRAGE'!$A$3,"")</f>
        <v/>
      </c>
      <c r="C287" s="72" t="str">
        <f>IF(A287&lt;&gt;"",VLOOKUP(A287,'EDC - PRODUCTION'!$A$7:$E$49,5,FALSE),"")</f>
        <v/>
      </c>
      <c r="D287" s="72" t="str">
        <f>IF(A287&lt;&gt;"",VLOOKUP(A287,'EDC - PRODUCTION'!$A$7:$I$49,4,FALSE),"")</f>
        <v/>
      </c>
      <c r="E287" s="44"/>
      <c r="F287" s="45" t="str">
        <f t="shared" si="14"/>
        <v/>
      </c>
      <c r="G287" s="56" t="str">
        <f t="shared" si="15"/>
        <v/>
      </c>
      <c r="H287" s="73"/>
      <c r="I287" s="73"/>
      <c r="J287" s="112" t="str">
        <f t="shared" si="16"/>
        <v/>
      </c>
      <c r="K287" s="68"/>
    </row>
    <row r="288" spans="1:11" x14ac:dyDescent="0.2">
      <c r="A288" s="108"/>
      <c r="B288" s="72" t="str">
        <f>IF(A288&lt;&gt;"",'EDC - PARAMETRAGE'!$A$3,"")</f>
        <v/>
      </c>
      <c r="C288" s="72" t="str">
        <f>IF(A288&lt;&gt;"",VLOOKUP(A288,'EDC - PRODUCTION'!$A$7:$E$49,5,FALSE),"")</f>
        <v/>
      </c>
      <c r="D288" s="72" t="str">
        <f>IF(A288&lt;&gt;"",VLOOKUP(A288,'EDC - PRODUCTION'!$A$7:$I$49,4,FALSE),"")</f>
        <v/>
      </c>
      <c r="E288" s="44"/>
      <c r="F288" s="45" t="str">
        <f t="shared" si="14"/>
        <v/>
      </c>
      <c r="G288" s="56" t="str">
        <f t="shared" si="15"/>
        <v/>
      </c>
      <c r="H288" s="73"/>
      <c r="I288" s="73"/>
      <c r="J288" s="112" t="str">
        <f t="shared" si="16"/>
        <v/>
      </c>
      <c r="K288" s="68"/>
    </row>
    <row r="289" spans="1:11" x14ac:dyDescent="0.2">
      <c r="A289" s="108"/>
      <c r="B289" s="72" t="str">
        <f>IF(A289&lt;&gt;"",'EDC - PARAMETRAGE'!$A$3,"")</f>
        <v/>
      </c>
      <c r="C289" s="72" t="str">
        <f>IF(A289&lt;&gt;"",VLOOKUP(A289,'EDC - PRODUCTION'!$A$7:$E$49,5,FALSE),"")</f>
        <v/>
      </c>
      <c r="D289" s="72" t="str">
        <f>IF(A289&lt;&gt;"",VLOOKUP(A289,'EDC - PRODUCTION'!$A$7:$I$49,4,FALSE),"")</f>
        <v/>
      </c>
      <c r="E289" s="44"/>
      <c r="F289" s="45" t="str">
        <f t="shared" si="14"/>
        <v/>
      </c>
      <c r="G289" s="56" t="str">
        <f t="shared" si="15"/>
        <v/>
      </c>
      <c r="H289" s="73"/>
      <c r="I289" s="73"/>
      <c r="J289" s="112" t="str">
        <f t="shared" si="16"/>
        <v/>
      </c>
      <c r="K289" s="68"/>
    </row>
    <row r="290" spans="1:11" x14ac:dyDescent="0.2">
      <c r="A290" s="108"/>
      <c r="B290" s="72" t="str">
        <f>IF(A290&lt;&gt;"",'EDC - PARAMETRAGE'!$A$3,"")</f>
        <v/>
      </c>
      <c r="C290" s="72" t="str">
        <f>IF(A290&lt;&gt;"",VLOOKUP(A290,'EDC - PRODUCTION'!$A$7:$E$49,5,FALSE),"")</f>
        <v/>
      </c>
      <c r="D290" s="72" t="str">
        <f>IF(A290&lt;&gt;"",VLOOKUP(A290,'EDC - PRODUCTION'!$A$7:$I$49,4,FALSE),"")</f>
        <v/>
      </c>
      <c r="E290" s="44"/>
      <c r="F290" s="45" t="str">
        <f t="shared" si="14"/>
        <v/>
      </c>
      <c r="G290" s="56" t="str">
        <f t="shared" si="15"/>
        <v/>
      </c>
      <c r="H290" s="73"/>
      <c r="I290" s="73"/>
      <c r="J290" s="112" t="str">
        <f t="shared" si="16"/>
        <v/>
      </c>
      <c r="K290" s="68"/>
    </row>
    <row r="291" spans="1:11" x14ac:dyDescent="0.2">
      <c r="A291" s="108"/>
      <c r="B291" s="72" t="str">
        <f>IF(A291&lt;&gt;"",'EDC - PARAMETRAGE'!$A$3,"")</f>
        <v/>
      </c>
      <c r="C291" s="72" t="str">
        <f>IF(A291&lt;&gt;"",VLOOKUP(A291,'EDC - PRODUCTION'!$A$7:$E$49,5,FALSE),"")</f>
        <v/>
      </c>
      <c r="D291" s="72" t="str">
        <f>IF(A291&lt;&gt;"",VLOOKUP(A291,'EDC - PRODUCTION'!$A$7:$I$49,4,FALSE),"")</f>
        <v/>
      </c>
      <c r="E291" s="44"/>
      <c r="F291" s="45" t="str">
        <f t="shared" si="14"/>
        <v/>
      </c>
      <c r="G291" s="56" t="str">
        <f t="shared" si="15"/>
        <v/>
      </c>
      <c r="H291" s="73"/>
      <c r="I291" s="73"/>
      <c r="J291" s="112" t="str">
        <f t="shared" si="16"/>
        <v/>
      </c>
      <c r="K291" s="68"/>
    </row>
    <row r="292" spans="1:11" x14ac:dyDescent="0.2">
      <c r="A292" s="108"/>
      <c r="B292" s="72" t="str">
        <f>IF(A292&lt;&gt;"",'EDC - PARAMETRAGE'!$A$3,"")</f>
        <v/>
      </c>
      <c r="C292" s="72" t="str">
        <f>IF(A292&lt;&gt;"",VLOOKUP(A292,'EDC - PRODUCTION'!$A$7:$E$49,5,FALSE),"")</f>
        <v/>
      </c>
      <c r="D292" s="72" t="str">
        <f>IF(A292&lt;&gt;"",VLOOKUP(A292,'EDC - PRODUCTION'!$A$7:$I$49,4,FALSE),"")</f>
        <v/>
      </c>
      <c r="E292" s="44"/>
      <c r="F292" s="45" t="str">
        <f t="shared" si="14"/>
        <v/>
      </c>
      <c r="G292" s="56" t="str">
        <f t="shared" si="15"/>
        <v/>
      </c>
      <c r="H292" s="73"/>
      <c r="I292" s="73"/>
      <c r="J292" s="112" t="str">
        <f t="shared" si="16"/>
        <v/>
      </c>
      <c r="K292" s="68"/>
    </row>
    <row r="293" spans="1:11" x14ac:dyDescent="0.2">
      <c r="A293" s="108"/>
      <c r="B293" s="72" t="str">
        <f>IF(A293&lt;&gt;"",'EDC - PARAMETRAGE'!$A$3,"")</f>
        <v/>
      </c>
      <c r="C293" s="72" t="str">
        <f>IF(A293&lt;&gt;"",VLOOKUP(A293,'EDC - PRODUCTION'!$A$7:$E$49,5,FALSE),"")</f>
        <v/>
      </c>
      <c r="D293" s="72" t="str">
        <f>IF(A293&lt;&gt;"",VLOOKUP(A293,'EDC - PRODUCTION'!$A$7:$I$49,4,FALSE),"")</f>
        <v/>
      </c>
      <c r="E293" s="44"/>
      <c r="F293" s="45" t="str">
        <f t="shared" si="14"/>
        <v/>
      </c>
      <c r="G293" s="56" t="str">
        <f t="shared" si="15"/>
        <v/>
      </c>
      <c r="H293" s="73"/>
      <c r="I293" s="73"/>
      <c r="J293" s="112" t="str">
        <f t="shared" si="16"/>
        <v/>
      </c>
      <c r="K293" s="68"/>
    </row>
    <row r="294" spans="1:11" x14ac:dyDescent="0.2">
      <c r="A294" s="108"/>
      <c r="B294" s="72" t="str">
        <f>IF(A294&lt;&gt;"",'EDC - PARAMETRAGE'!$A$3,"")</f>
        <v/>
      </c>
      <c r="C294" s="72" t="str">
        <f>IF(A294&lt;&gt;"",VLOOKUP(A294,'EDC - PRODUCTION'!$A$7:$E$49,5,FALSE),"")</f>
        <v/>
      </c>
      <c r="D294" s="72" t="str">
        <f>IF(A294&lt;&gt;"",VLOOKUP(A294,'EDC - PRODUCTION'!$A$7:$I$49,4,FALSE),"")</f>
        <v/>
      </c>
      <c r="E294" s="44"/>
      <c r="F294" s="45" t="str">
        <f t="shared" si="14"/>
        <v/>
      </c>
      <c r="G294" s="56" t="str">
        <f t="shared" si="15"/>
        <v/>
      </c>
      <c r="H294" s="73"/>
      <c r="I294" s="73"/>
      <c r="J294" s="112" t="str">
        <f t="shared" si="16"/>
        <v/>
      </c>
      <c r="K294" s="68"/>
    </row>
    <row r="295" spans="1:11" x14ac:dyDescent="0.2">
      <c r="A295" s="108"/>
      <c r="B295" s="72" t="str">
        <f>IF(A295&lt;&gt;"",'EDC - PARAMETRAGE'!$A$3,"")</f>
        <v/>
      </c>
      <c r="C295" s="72" t="str">
        <f>IF(A295&lt;&gt;"",VLOOKUP(A295,'EDC - PRODUCTION'!$A$7:$E$49,5,FALSE),"")</f>
        <v/>
      </c>
      <c r="D295" s="72" t="str">
        <f>IF(A295&lt;&gt;"",VLOOKUP(A295,'EDC - PRODUCTION'!$A$7:$I$49,4,FALSE),"")</f>
        <v/>
      </c>
      <c r="E295" s="44"/>
      <c r="F295" s="45" t="str">
        <f t="shared" si="14"/>
        <v/>
      </c>
      <c r="G295" s="56" t="str">
        <f t="shared" si="15"/>
        <v/>
      </c>
      <c r="H295" s="73"/>
      <c r="I295" s="73"/>
      <c r="J295" s="112" t="str">
        <f t="shared" si="16"/>
        <v/>
      </c>
      <c r="K295" s="68"/>
    </row>
    <row r="296" spans="1:11" x14ac:dyDescent="0.2">
      <c r="A296" s="108"/>
      <c r="B296" s="72" t="str">
        <f>IF(A296&lt;&gt;"",'EDC - PARAMETRAGE'!$A$3,"")</f>
        <v/>
      </c>
      <c r="C296" s="72" t="str">
        <f>IF(A296&lt;&gt;"",VLOOKUP(A296,'EDC - PRODUCTION'!$A$7:$E$49,5,FALSE),"")</f>
        <v/>
      </c>
      <c r="D296" s="72" t="str">
        <f>IF(A296&lt;&gt;"",VLOOKUP(A296,'EDC - PRODUCTION'!$A$7:$I$49,4,FALSE),"")</f>
        <v/>
      </c>
      <c r="E296" s="44"/>
      <c r="F296" s="45" t="str">
        <f t="shared" si="14"/>
        <v/>
      </c>
      <c r="G296" s="56" t="str">
        <f t="shared" si="15"/>
        <v/>
      </c>
      <c r="H296" s="73"/>
      <c r="I296" s="73"/>
      <c r="J296" s="112" t="str">
        <f t="shared" si="16"/>
        <v/>
      </c>
      <c r="K296" s="68"/>
    </row>
    <row r="297" spans="1:11" x14ac:dyDescent="0.2">
      <c r="A297" s="108"/>
      <c r="B297" s="72" t="str">
        <f>IF(A297&lt;&gt;"",'EDC - PARAMETRAGE'!$A$3,"")</f>
        <v/>
      </c>
      <c r="C297" s="72" t="str">
        <f>IF(A297&lt;&gt;"",VLOOKUP(A297,'EDC - PRODUCTION'!$A$7:$E$49,5,FALSE),"")</f>
        <v/>
      </c>
      <c r="D297" s="72" t="str">
        <f>IF(A297&lt;&gt;"",VLOOKUP(A297,'EDC - PRODUCTION'!$A$7:$I$49,4,FALSE),"")</f>
        <v/>
      </c>
      <c r="E297" s="44"/>
      <c r="F297" s="45" t="str">
        <f t="shared" si="14"/>
        <v/>
      </c>
      <c r="G297" s="56" t="str">
        <f t="shared" si="15"/>
        <v/>
      </c>
      <c r="H297" s="73"/>
      <c r="I297" s="73"/>
      <c r="J297" s="112" t="str">
        <f t="shared" si="16"/>
        <v/>
      </c>
      <c r="K297" s="68"/>
    </row>
    <row r="298" spans="1:11" x14ac:dyDescent="0.2">
      <c r="A298" s="108"/>
      <c r="B298" s="72" t="str">
        <f>IF(A298&lt;&gt;"",'EDC - PARAMETRAGE'!$A$3,"")</f>
        <v/>
      </c>
      <c r="C298" s="72" t="str">
        <f>IF(A298&lt;&gt;"",VLOOKUP(A298,'EDC - PRODUCTION'!$A$7:$E$49,5,FALSE),"")</f>
        <v/>
      </c>
      <c r="D298" s="72" t="str">
        <f>IF(A298&lt;&gt;"",VLOOKUP(A298,'EDC - PRODUCTION'!$A$7:$I$49,4,FALSE),"")</f>
        <v/>
      </c>
      <c r="E298" s="44"/>
      <c r="F298" s="45" t="str">
        <f t="shared" si="14"/>
        <v/>
      </c>
      <c r="G298" s="56" t="str">
        <f t="shared" si="15"/>
        <v/>
      </c>
      <c r="H298" s="73"/>
      <c r="I298" s="73"/>
      <c r="J298" s="112" t="str">
        <f t="shared" si="16"/>
        <v/>
      </c>
      <c r="K298" s="68"/>
    </row>
    <row r="299" spans="1:11" x14ac:dyDescent="0.2">
      <c r="A299" s="108"/>
      <c r="B299" s="72" t="str">
        <f>IF(A299&lt;&gt;"",'EDC - PARAMETRAGE'!$A$3,"")</f>
        <v/>
      </c>
      <c r="C299" s="72" t="str">
        <f>IF(A299&lt;&gt;"",VLOOKUP(A299,'EDC - PRODUCTION'!$A$7:$E$49,5,FALSE),"")</f>
        <v/>
      </c>
      <c r="D299" s="72" t="str">
        <f>IF(A299&lt;&gt;"",VLOOKUP(A299,'EDC - PRODUCTION'!$A$7:$I$49,4,FALSE),"")</f>
        <v/>
      </c>
      <c r="E299" s="44"/>
      <c r="F299" s="45" t="str">
        <f t="shared" si="14"/>
        <v/>
      </c>
      <c r="G299" s="56" t="str">
        <f t="shared" si="15"/>
        <v/>
      </c>
      <c r="H299" s="73"/>
      <c r="I299" s="73"/>
      <c r="J299" s="112" t="str">
        <f t="shared" si="16"/>
        <v/>
      </c>
      <c r="K299" s="68"/>
    </row>
    <row r="300" spans="1:11" x14ac:dyDescent="0.2">
      <c r="A300" s="108"/>
      <c r="B300" s="72" t="str">
        <f>IF(A300&lt;&gt;"",'EDC - PARAMETRAGE'!$A$3,"")</f>
        <v/>
      </c>
      <c r="C300" s="72" t="str">
        <f>IF(A300&lt;&gt;"",VLOOKUP(A300,'EDC - PRODUCTION'!$A$7:$E$49,5,FALSE),"")</f>
        <v/>
      </c>
      <c r="D300" s="72" t="str">
        <f>IF(A300&lt;&gt;"",VLOOKUP(A300,'EDC - PRODUCTION'!$A$7:$I$49,4,FALSE),"")</f>
        <v/>
      </c>
      <c r="E300" s="44"/>
      <c r="F300" s="45" t="str">
        <f t="shared" si="14"/>
        <v/>
      </c>
      <c r="G300" s="56" t="str">
        <f t="shared" si="15"/>
        <v/>
      </c>
      <c r="H300" s="73"/>
      <c r="I300" s="73"/>
      <c r="J300" s="112" t="str">
        <f t="shared" si="16"/>
        <v/>
      </c>
      <c r="K300" s="68"/>
    </row>
    <row r="301" spans="1:11" x14ac:dyDescent="0.2">
      <c r="A301" s="108"/>
      <c r="B301" s="72" t="str">
        <f>IF(A301&lt;&gt;"",'EDC - PARAMETRAGE'!$A$3,"")</f>
        <v/>
      </c>
      <c r="C301" s="72" t="str">
        <f>IF(A301&lt;&gt;"",VLOOKUP(A301,'EDC - PRODUCTION'!$A$7:$E$49,5,FALSE),"")</f>
        <v/>
      </c>
      <c r="D301" s="72" t="str">
        <f>IF(A301&lt;&gt;"",VLOOKUP(A301,'EDC - PRODUCTION'!$A$7:$I$49,4,FALSE),"")</f>
        <v/>
      </c>
      <c r="E301" s="44"/>
      <c r="F301" s="45" t="str">
        <f t="shared" si="14"/>
        <v/>
      </c>
      <c r="G301" s="56" t="str">
        <f t="shared" si="15"/>
        <v/>
      </c>
      <c r="H301" s="73"/>
      <c r="I301" s="73"/>
      <c r="J301" s="112" t="str">
        <f t="shared" si="16"/>
        <v/>
      </c>
      <c r="K301" s="68"/>
    </row>
    <row r="302" spans="1:11" x14ac:dyDescent="0.2">
      <c r="A302" s="108"/>
      <c r="B302" s="72" t="str">
        <f>IF(A302&lt;&gt;"",'EDC - PARAMETRAGE'!$A$3,"")</f>
        <v/>
      </c>
      <c r="C302" s="72" t="str">
        <f>IF(A302&lt;&gt;"",VLOOKUP(A302,'EDC - PRODUCTION'!$A$7:$E$49,5,FALSE),"")</f>
        <v/>
      </c>
      <c r="D302" s="72" t="str">
        <f>IF(A302&lt;&gt;"",VLOOKUP(A302,'EDC - PRODUCTION'!$A$7:$I$49,4,FALSE),"")</f>
        <v/>
      </c>
      <c r="E302" s="44"/>
      <c r="F302" s="45" t="str">
        <f t="shared" si="14"/>
        <v/>
      </c>
      <c r="G302" s="56" t="str">
        <f t="shared" si="15"/>
        <v/>
      </c>
      <c r="H302" s="73"/>
      <c r="I302" s="73"/>
      <c r="J302" s="112" t="str">
        <f t="shared" si="16"/>
        <v/>
      </c>
      <c r="K302" s="68"/>
    </row>
    <row r="303" spans="1:11" x14ac:dyDescent="0.2">
      <c r="A303" s="108"/>
      <c r="B303" s="72" t="str">
        <f>IF(A303&lt;&gt;"",'EDC - PARAMETRAGE'!$A$3,"")</f>
        <v/>
      </c>
      <c r="C303" s="72" t="str">
        <f>IF(A303&lt;&gt;"",VLOOKUP(A303,'EDC - PRODUCTION'!$A$7:$E$49,5,FALSE),"")</f>
        <v/>
      </c>
      <c r="D303" s="72" t="str">
        <f>IF(A303&lt;&gt;"",VLOOKUP(A303,'EDC - PRODUCTION'!$A$7:$I$49,4,FALSE),"")</f>
        <v/>
      </c>
      <c r="E303" s="44"/>
      <c r="F303" s="45" t="str">
        <f t="shared" si="14"/>
        <v/>
      </c>
      <c r="G303" s="56" t="str">
        <f t="shared" si="15"/>
        <v/>
      </c>
      <c r="H303" s="73"/>
      <c r="I303" s="73"/>
      <c r="J303" s="112" t="str">
        <f t="shared" si="16"/>
        <v/>
      </c>
      <c r="K303" s="68"/>
    </row>
    <row r="304" spans="1:11" x14ac:dyDescent="0.2">
      <c r="A304" s="108"/>
      <c r="B304" s="72" t="str">
        <f>IF(A304&lt;&gt;"",'EDC - PARAMETRAGE'!$A$3,"")</f>
        <v/>
      </c>
      <c r="C304" s="72" t="str">
        <f>IF(A304&lt;&gt;"",VLOOKUP(A304,'EDC - PRODUCTION'!$A$7:$E$49,5,FALSE),"")</f>
        <v/>
      </c>
      <c r="D304" s="72" t="str">
        <f>IF(A304&lt;&gt;"",VLOOKUP(A304,'EDC - PRODUCTION'!$A$7:$I$49,4,FALSE),"")</f>
        <v/>
      </c>
      <c r="E304" s="44"/>
      <c r="F304" s="45" t="str">
        <f t="shared" si="14"/>
        <v/>
      </c>
      <c r="G304" s="56" t="str">
        <f t="shared" si="15"/>
        <v/>
      </c>
      <c r="H304" s="73"/>
      <c r="I304" s="73"/>
      <c r="J304" s="112" t="str">
        <f t="shared" si="16"/>
        <v/>
      </c>
      <c r="K304" s="68"/>
    </row>
    <row r="305" spans="1:11" x14ac:dyDescent="0.2">
      <c r="A305" s="108"/>
      <c r="B305" s="72" t="str">
        <f>IF(A305&lt;&gt;"",'EDC - PARAMETRAGE'!$A$3,"")</f>
        <v/>
      </c>
      <c r="C305" s="72" t="str">
        <f>IF(A305&lt;&gt;"",VLOOKUP(A305,'EDC - PRODUCTION'!$A$7:$E$49,5,FALSE),"")</f>
        <v/>
      </c>
      <c r="D305" s="72" t="str">
        <f>IF(A305&lt;&gt;"",VLOOKUP(A305,'EDC - PRODUCTION'!$A$7:$I$49,4,FALSE),"")</f>
        <v/>
      </c>
      <c r="E305" s="44"/>
      <c r="F305" s="45" t="str">
        <f t="shared" si="14"/>
        <v/>
      </c>
      <c r="G305" s="56" t="str">
        <f t="shared" si="15"/>
        <v/>
      </c>
      <c r="H305" s="73"/>
      <c r="I305" s="73"/>
      <c r="J305" s="112" t="str">
        <f t="shared" si="16"/>
        <v/>
      </c>
      <c r="K305" s="68"/>
    </row>
    <row r="306" spans="1:11" x14ac:dyDescent="0.2">
      <c r="A306" s="108"/>
      <c r="B306" s="72" t="str">
        <f>IF(A306&lt;&gt;"",'EDC - PARAMETRAGE'!$A$3,"")</f>
        <v/>
      </c>
      <c r="C306" s="72" t="str">
        <f>IF(A306&lt;&gt;"",VLOOKUP(A306,'EDC - PRODUCTION'!$A$7:$E$49,5,FALSE),"")</f>
        <v/>
      </c>
      <c r="D306" s="72" t="str">
        <f>IF(A306&lt;&gt;"",VLOOKUP(A306,'EDC - PRODUCTION'!$A$7:$I$49,4,FALSE),"")</f>
        <v/>
      </c>
      <c r="E306" s="44"/>
      <c r="F306" s="45" t="str">
        <f t="shared" si="14"/>
        <v/>
      </c>
      <c r="G306" s="56" t="str">
        <f t="shared" si="15"/>
        <v/>
      </c>
      <c r="H306" s="73"/>
      <c r="I306" s="73"/>
      <c r="J306" s="112" t="str">
        <f t="shared" si="16"/>
        <v/>
      </c>
      <c r="K306" s="68"/>
    </row>
    <row r="307" spans="1:11" x14ac:dyDescent="0.2">
      <c r="A307" s="108"/>
      <c r="B307" s="72" t="str">
        <f>IF(A307&lt;&gt;"",'EDC - PARAMETRAGE'!$A$3,"")</f>
        <v/>
      </c>
      <c r="C307" s="72" t="str">
        <f>IF(A307&lt;&gt;"",VLOOKUP(A307,'EDC - PRODUCTION'!$A$7:$E$49,5,FALSE),"")</f>
        <v/>
      </c>
      <c r="D307" s="72" t="str">
        <f>IF(A307&lt;&gt;"",VLOOKUP(A307,'EDC - PRODUCTION'!$A$7:$I$49,4,FALSE),"")</f>
        <v/>
      </c>
      <c r="E307" s="44"/>
      <c r="F307" s="45" t="str">
        <f t="shared" si="14"/>
        <v/>
      </c>
      <c r="G307" s="56" t="str">
        <f t="shared" si="15"/>
        <v/>
      </c>
      <c r="H307" s="73"/>
      <c r="I307" s="73"/>
      <c r="J307" s="112" t="str">
        <f t="shared" si="16"/>
        <v/>
      </c>
      <c r="K307" s="68"/>
    </row>
    <row r="308" spans="1:11" x14ac:dyDescent="0.2">
      <c r="A308" s="108"/>
      <c r="B308" s="72" t="str">
        <f>IF(A308&lt;&gt;"",'EDC - PARAMETRAGE'!$A$3,"")</f>
        <v/>
      </c>
      <c r="C308" s="72" t="str">
        <f>IF(A308&lt;&gt;"",VLOOKUP(A308,'EDC - PRODUCTION'!$A$7:$E$49,5,FALSE),"")</f>
        <v/>
      </c>
      <c r="D308" s="72" t="str">
        <f>IF(A308&lt;&gt;"",VLOOKUP(A308,'EDC - PRODUCTION'!$A$7:$I$49,4,FALSE),"")</f>
        <v/>
      </c>
      <c r="E308" s="44"/>
      <c r="F308" s="45" t="str">
        <f t="shared" si="14"/>
        <v/>
      </c>
      <c r="G308" s="56" t="str">
        <f t="shared" si="15"/>
        <v/>
      </c>
      <c r="H308" s="73"/>
      <c r="I308" s="73"/>
      <c r="J308" s="112" t="str">
        <f t="shared" si="16"/>
        <v/>
      </c>
      <c r="K308" s="68"/>
    </row>
    <row r="309" spans="1:11" x14ac:dyDescent="0.2">
      <c r="A309" s="108"/>
      <c r="B309" s="72" t="str">
        <f>IF(A309&lt;&gt;"",'EDC - PARAMETRAGE'!$A$3,"")</f>
        <v/>
      </c>
      <c r="C309" s="72" t="str">
        <f>IF(A309&lt;&gt;"",VLOOKUP(A309,'EDC - PRODUCTION'!$A$7:$E$49,5,FALSE),"")</f>
        <v/>
      </c>
      <c r="D309" s="72" t="str">
        <f>IF(A309&lt;&gt;"",VLOOKUP(A309,'EDC - PRODUCTION'!$A$7:$I$49,4,FALSE),"")</f>
        <v/>
      </c>
      <c r="E309" s="44"/>
      <c r="F309" s="45" t="str">
        <f t="shared" si="14"/>
        <v/>
      </c>
      <c r="G309" s="56" t="str">
        <f t="shared" si="15"/>
        <v/>
      </c>
      <c r="H309" s="73"/>
      <c r="I309" s="73"/>
      <c r="J309" s="112" t="str">
        <f t="shared" si="16"/>
        <v/>
      </c>
      <c r="K309" s="68"/>
    </row>
    <row r="310" spans="1:11" x14ac:dyDescent="0.2">
      <c r="A310" s="108"/>
      <c r="B310" s="72" t="str">
        <f>IF(A310&lt;&gt;"",'EDC - PARAMETRAGE'!$A$3,"")</f>
        <v/>
      </c>
      <c r="C310" s="72" t="str">
        <f>IF(A310&lt;&gt;"",VLOOKUP(A310,'EDC - PRODUCTION'!$A$7:$E$49,5,FALSE),"")</f>
        <v/>
      </c>
      <c r="D310" s="72" t="str">
        <f>IF(A310&lt;&gt;"",VLOOKUP(A310,'EDC - PRODUCTION'!$A$7:$I$49,4,FALSE),"")</f>
        <v/>
      </c>
      <c r="E310" s="44"/>
      <c r="F310" s="45" t="str">
        <f t="shared" si="14"/>
        <v/>
      </c>
      <c r="G310" s="56" t="str">
        <f t="shared" si="15"/>
        <v/>
      </c>
      <c r="H310" s="73"/>
      <c r="I310" s="73"/>
      <c r="J310" s="112" t="str">
        <f t="shared" si="16"/>
        <v/>
      </c>
      <c r="K310" s="68"/>
    </row>
    <row r="311" spans="1:11" x14ac:dyDescent="0.2">
      <c r="A311" s="108"/>
      <c r="B311" s="72" t="str">
        <f>IF(A311&lt;&gt;"",'EDC - PARAMETRAGE'!$A$3,"")</f>
        <v/>
      </c>
      <c r="C311" s="72" t="str">
        <f>IF(A311&lt;&gt;"",VLOOKUP(A311,'EDC - PRODUCTION'!$A$7:$E$49,5,FALSE),"")</f>
        <v/>
      </c>
      <c r="D311" s="72" t="str">
        <f>IF(A311&lt;&gt;"",VLOOKUP(A311,'EDC - PRODUCTION'!$A$7:$I$49,4,FALSE),"")</f>
        <v/>
      </c>
      <c r="E311" s="44"/>
      <c r="F311" s="45" t="str">
        <f t="shared" si="14"/>
        <v/>
      </c>
      <c r="G311" s="56" t="str">
        <f t="shared" si="15"/>
        <v/>
      </c>
      <c r="H311" s="73"/>
      <c r="I311" s="73"/>
      <c r="J311" s="112" t="str">
        <f t="shared" si="16"/>
        <v/>
      </c>
      <c r="K311" s="68"/>
    </row>
    <row r="312" spans="1:11" x14ac:dyDescent="0.2">
      <c r="A312" s="108"/>
      <c r="B312" s="72" t="str">
        <f>IF(A312&lt;&gt;"",'EDC - PARAMETRAGE'!$A$3,"")</f>
        <v/>
      </c>
      <c r="C312" s="72" t="str">
        <f>IF(A312&lt;&gt;"",VLOOKUP(A312,'EDC - PRODUCTION'!$A$7:$E$49,5,FALSE),"")</f>
        <v/>
      </c>
      <c r="D312" s="72" t="str">
        <f>IF(A312&lt;&gt;"",VLOOKUP(A312,'EDC - PRODUCTION'!$A$7:$I$49,4,FALSE),"")</f>
        <v/>
      </c>
      <c r="E312" s="44"/>
      <c r="F312" s="45" t="str">
        <f t="shared" si="14"/>
        <v/>
      </c>
      <c r="G312" s="56" t="str">
        <f t="shared" si="15"/>
        <v/>
      </c>
      <c r="H312" s="73"/>
      <c r="I312" s="73"/>
      <c r="J312" s="112" t="str">
        <f t="shared" si="16"/>
        <v/>
      </c>
      <c r="K312" s="68"/>
    </row>
    <row r="313" spans="1:11" x14ac:dyDescent="0.2">
      <c r="A313" s="108"/>
      <c r="B313" s="72" t="str">
        <f>IF(A313&lt;&gt;"",'EDC - PARAMETRAGE'!$A$3,"")</f>
        <v/>
      </c>
      <c r="C313" s="72" t="str">
        <f>IF(A313&lt;&gt;"",VLOOKUP(A313,'EDC - PRODUCTION'!$A$7:$E$49,5,FALSE),"")</f>
        <v/>
      </c>
      <c r="D313" s="72" t="str">
        <f>IF(A313&lt;&gt;"",VLOOKUP(A313,'EDC - PRODUCTION'!$A$7:$I$49,4,FALSE),"")</f>
        <v/>
      </c>
      <c r="E313" s="44"/>
      <c r="F313" s="45" t="str">
        <f t="shared" si="14"/>
        <v/>
      </c>
      <c r="G313" s="56" t="str">
        <f t="shared" si="15"/>
        <v/>
      </c>
      <c r="H313" s="73"/>
      <c r="I313" s="73"/>
      <c r="J313" s="112" t="str">
        <f t="shared" si="16"/>
        <v/>
      </c>
      <c r="K313" s="68"/>
    </row>
    <row r="314" spans="1:11" x14ac:dyDescent="0.2">
      <c r="A314" s="108"/>
      <c r="B314" s="72" t="str">
        <f>IF(A314&lt;&gt;"",'EDC - PARAMETRAGE'!$A$3,"")</f>
        <v/>
      </c>
      <c r="C314" s="72" t="str">
        <f>IF(A314&lt;&gt;"",VLOOKUP(A314,'EDC - PRODUCTION'!$A$7:$E$49,5,FALSE),"")</f>
        <v/>
      </c>
      <c r="D314" s="72" t="str">
        <f>IF(A314&lt;&gt;"",VLOOKUP(A314,'EDC - PRODUCTION'!$A$7:$I$49,4,FALSE),"")</f>
        <v/>
      </c>
      <c r="E314" s="44"/>
      <c r="F314" s="45" t="str">
        <f t="shared" si="14"/>
        <v/>
      </c>
      <c r="G314" s="56" t="str">
        <f t="shared" si="15"/>
        <v/>
      </c>
      <c r="H314" s="73"/>
      <c r="I314" s="73"/>
      <c r="J314" s="112" t="str">
        <f t="shared" si="16"/>
        <v/>
      </c>
      <c r="K314" s="68"/>
    </row>
    <row r="315" spans="1:11" x14ac:dyDescent="0.2">
      <c r="A315" s="108"/>
      <c r="B315" s="72" t="str">
        <f>IF(A315&lt;&gt;"",'EDC - PARAMETRAGE'!$A$3,"")</f>
        <v/>
      </c>
      <c r="C315" s="72" t="str">
        <f>IF(A315&lt;&gt;"",VLOOKUP(A315,'EDC - PRODUCTION'!$A$7:$E$49,5,FALSE),"")</f>
        <v/>
      </c>
      <c r="D315" s="72" t="str">
        <f>IF(A315&lt;&gt;"",VLOOKUP(A315,'EDC - PRODUCTION'!$A$7:$I$49,4,FALSE),"")</f>
        <v/>
      </c>
      <c r="E315" s="44"/>
      <c r="F315" s="45" t="str">
        <f t="shared" si="14"/>
        <v/>
      </c>
      <c r="G315" s="56" t="str">
        <f t="shared" si="15"/>
        <v/>
      </c>
      <c r="H315" s="73"/>
      <c r="I315" s="73"/>
      <c r="J315" s="112" t="str">
        <f t="shared" si="16"/>
        <v/>
      </c>
      <c r="K315" s="68"/>
    </row>
    <row r="316" spans="1:11" x14ac:dyDescent="0.2">
      <c r="A316" s="108"/>
      <c r="B316" s="72" t="str">
        <f>IF(A316&lt;&gt;"",'EDC - PARAMETRAGE'!$A$3,"")</f>
        <v/>
      </c>
      <c r="C316" s="72" t="str">
        <f>IF(A316&lt;&gt;"",VLOOKUP(A316,'EDC - PRODUCTION'!$A$7:$E$49,5,FALSE),"")</f>
        <v/>
      </c>
      <c r="D316" s="72" t="str">
        <f>IF(A316&lt;&gt;"",VLOOKUP(A316,'EDC - PRODUCTION'!$A$7:$I$49,4,FALSE),"")</f>
        <v/>
      </c>
      <c r="E316" s="44"/>
      <c r="F316" s="45" t="str">
        <f t="shared" si="14"/>
        <v/>
      </c>
      <c r="G316" s="56" t="str">
        <f t="shared" si="15"/>
        <v/>
      </c>
      <c r="H316" s="73"/>
      <c r="I316" s="73"/>
      <c r="J316" s="112" t="str">
        <f t="shared" si="16"/>
        <v/>
      </c>
      <c r="K316" s="68"/>
    </row>
    <row r="317" spans="1:11" x14ac:dyDescent="0.2">
      <c r="A317" s="108"/>
      <c r="B317" s="72" t="str">
        <f>IF(A317&lt;&gt;"",'EDC - PARAMETRAGE'!$A$3,"")</f>
        <v/>
      </c>
      <c r="C317" s="72" t="str">
        <f>IF(A317&lt;&gt;"",VLOOKUP(A317,'EDC - PRODUCTION'!$A$7:$E$49,5,FALSE),"")</f>
        <v/>
      </c>
      <c r="D317" s="72" t="str">
        <f>IF(A317&lt;&gt;"",VLOOKUP(A317,'EDC - PRODUCTION'!$A$7:$I$49,4,FALSE),"")</f>
        <v/>
      </c>
      <c r="E317" s="44"/>
      <c r="F317" s="45" t="str">
        <f t="shared" si="14"/>
        <v/>
      </c>
      <c r="G317" s="56" t="str">
        <f t="shared" si="15"/>
        <v/>
      </c>
      <c r="H317" s="73"/>
      <c r="I317" s="73"/>
      <c r="J317" s="112" t="str">
        <f t="shared" si="16"/>
        <v/>
      </c>
      <c r="K317" s="68"/>
    </row>
    <row r="318" spans="1:11" x14ac:dyDescent="0.2">
      <c r="A318" s="108"/>
      <c r="B318" s="72" t="str">
        <f>IF(A318&lt;&gt;"",'EDC - PARAMETRAGE'!$A$3,"")</f>
        <v/>
      </c>
      <c r="C318" s="72" t="str">
        <f>IF(A318&lt;&gt;"",VLOOKUP(A318,'EDC - PRODUCTION'!$A$7:$E$49,5,FALSE),"")</f>
        <v/>
      </c>
      <c r="D318" s="72" t="str">
        <f>IF(A318&lt;&gt;"",VLOOKUP(A318,'EDC - PRODUCTION'!$A$7:$I$49,4,FALSE),"")</f>
        <v/>
      </c>
      <c r="E318" s="44"/>
      <c r="F318" s="45" t="str">
        <f t="shared" si="14"/>
        <v/>
      </c>
      <c r="G318" s="56" t="str">
        <f t="shared" si="15"/>
        <v/>
      </c>
      <c r="H318" s="73"/>
      <c r="I318" s="73"/>
      <c r="J318" s="112" t="str">
        <f t="shared" si="16"/>
        <v/>
      </c>
      <c r="K318" s="68"/>
    </row>
    <row r="319" spans="1:11" x14ac:dyDescent="0.2">
      <c r="A319" s="108"/>
      <c r="B319" s="72" t="str">
        <f>IF(A319&lt;&gt;"",'EDC - PARAMETRAGE'!$A$3,"")</f>
        <v/>
      </c>
      <c r="C319" s="72" t="str">
        <f>IF(A319&lt;&gt;"",VLOOKUP(A319,'EDC - PRODUCTION'!$A$7:$E$49,5,FALSE),"")</f>
        <v/>
      </c>
      <c r="D319" s="72" t="str">
        <f>IF(A319&lt;&gt;"",VLOOKUP(A319,'EDC - PRODUCTION'!$A$7:$I$49,4,FALSE),"")</f>
        <v/>
      </c>
      <c r="E319" s="44"/>
      <c r="F319" s="45" t="str">
        <f t="shared" si="14"/>
        <v/>
      </c>
      <c r="G319" s="56" t="str">
        <f t="shared" si="15"/>
        <v/>
      </c>
      <c r="H319" s="73"/>
      <c r="I319" s="73"/>
      <c r="J319" s="112" t="str">
        <f t="shared" si="16"/>
        <v/>
      </c>
      <c r="K319" s="68"/>
    </row>
    <row r="320" spans="1:11" x14ac:dyDescent="0.2">
      <c r="A320" s="108"/>
      <c r="B320" s="72" t="str">
        <f>IF(A320&lt;&gt;"",'EDC - PARAMETRAGE'!$A$3,"")</f>
        <v/>
      </c>
      <c r="C320" s="72" t="str">
        <f>IF(A320&lt;&gt;"",VLOOKUP(A320,'EDC - PRODUCTION'!$A$7:$E$49,5,FALSE),"")</f>
        <v/>
      </c>
      <c r="D320" s="72" t="str">
        <f>IF(A320&lt;&gt;"",VLOOKUP(A320,'EDC - PRODUCTION'!$A$7:$I$49,4,FALSE),"")</f>
        <v/>
      </c>
      <c r="E320" s="44"/>
      <c r="F320" s="45" t="str">
        <f t="shared" si="14"/>
        <v/>
      </c>
      <c r="G320" s="56" t="str">
        <f t="shared" si="15"/>
        <v/>
      </c>
      <c r="H320" s="73"/>
      <c r="I320" s="73"/>
      <c r="J320" s="112" t="str">
        <f t="shared" si="16"/>
        <v/>
      </c>
      <c r="K320" s="68"/>
    </row>
    <row r="321" spans="1:11" x14ac:dyDescent="0.2">
      <c r="A321" s="108"/>
      <c r="B321" s="72" t="str">
        <f>IF(A321&lt;&gt;"",'EDC - PARAMETRAGE'!$A$3,"")</f>
        <v/>
      </c>
      <c r="C321" s="72" t="str">
        <f>IF(A321&lt;&gt;"",VLOOKUP(A321,'EDC - PRODUCTION'!$A$7:$E$49,5,FALSE),"")</f>
        <v/>
      </c>
      <c r="D321" s="72" t="str">
        <f>IF(A321&lt;&gt;"",VLOOKUP(A321,'EDC - PRODUCTION'!$A$7:$I$49,4,FALSE),"")</f>
        <v/>
      </c>
      <c r="E321" s="44"/>
      <c r="F321" s="45" t="str">
        <f t="shared" si="14"/>
        <v/>
      </c>
      <c r="G321" s="56" t="str">
        <f t="shared" si="15"/>
        <v/>
      </c>
      <c r="H321" s="73"/>
      <c r="I321" s="73"/>
      <c r="J321" s="112" t="str">
        <f t="shared" si="16"/>
        <v/>
      </c>
      <c r="K321" s="68"/>
    </row>
    <row r="322" spans="1:11" x14ac:dyDescent="0.2">
      <c r="A322" s="108"/>
      <c r="B322" s="72" t="str">
        <f>IF(A322&lt;&gt;"",'EDC - PARAMETRAGE'!$A$3,"")</f>
        <v/>
      </c>
      <c r="C322" s="72" t="str">
        <f>IF(A322&lt;&gt;"",VLOOKUP(A322,'EDC - PRODUCTION'!$A$7:$E$49,5,FALSE),"")</f>
        <v/>
      </c>
      <c r="D322" s="72" t="str">
        <f>IF(A322&lt;&gt;"",VLOOKUP(A322,'EDC - PRODUCTION'!$A$7:$I$49,4,FALSE),"")</f>
        <v/>
      </c>
      <c r="E322" s="44"/>
      <c r="F322" s="45" t="str">
        <f t="shared" si="14"/>
        <v/>
      </c>
      <c r="G322" s="56" t="str">
        <f t="shared" si="15"/>
        <v/>
      </c>
      <c r="H322" s="73"/>
      <c r="I322" s="73"/>
      <c r="J322" s="112" t="str">
        <f t="shared" si="16"/>
        <v/>
      </c>
      <c r="K322" s="68"/>
    </row>
    <row r="323" spans="1:11" x14ac:dyDescent="0.2">
      <c r="A323" s="108"/>
      <c r="B323" s="72" t="str">
        <f>IF(A323&lt;&gt;"",'EDC - PARAMETRAGE'!$A$3,"")</f>
        <v/>
      </c>
      <c r="C323" s="72" t="str">
        <f>IF(A323&lt;&gt;"",VLOOKUP(A323,'EDC - PRODUCTION'!$A$7:$E$49,5,FALSE),"")</f>
        <v/>
      </c>
      <c r="D323" s="72" t="str">
        <f>IF(A323&lt;&gt;"",VLOOKUP(A323,'EDC - PRODUCTION'!$A$7:$I$49,4,FALSE),"")</f>
        <v/>
      </c>
      <c r="E323" s="44"/>
      <c r="F323" s="45" t="str">
        <f t="shared" si="14"/>
        <v/>
      </c>
      <c r="G323" s="56" t="str">
        <f t="shared" si="15"/>
        <v/>
      </c>
      <c r="H323" s="73"/>
      <c r="I323" s="73"/>
      <c r="J323" s="112" t="str">
        <f t="shared" si="16"/>
        <v/>
      </c>
      <c r="K323" s="68"/>
    </row>
    <row r="324" spans="1:11" x14ac:dyDescent="0.2">
      <c r="A324" s="108"/>
      <c r="B324" s="72" t="str">
        <f>IF(A324&lt;&gt;"",'EDC - PARAMETRAGE'!$A$3,"")</f>
        <v/>
      </c>
      <c r="C324" s="72" t="str">
        <f>IF(A324&lt;&gt;"",VLOOKUP(A324,'EDC - PRODUCTION'!$A$7:$E$49,5,FALSE),"")</f>
        <v/>
      </c>
      <c r="D324" s="72" t="str">
        <f>IF(A324&lt;&gt;"",VLOOKUP(A324,'EDC - PRODUCTION'!$A$7:$I$49,4,FALSE),"")</f>
        <v/>
      </c>
      <c r="E324" s="44"/>
      <c r="F324" s="45" t="str">
        <f t="shared" ref="F324:F387" si="17">IF(A324&lt;&gt;"","DDE","")</f>
        <v/>
      </c>
      <c r="G324" s="56" t="str">
        <f t="shared" ref="G324:G387" si="18">IF(A324&lt;&gt;"",1,"")</f>
        <v/>
      </c>
      <c r="H324" s="73"/>
      <c r="I324" s="73"/>
      <c r="J324" s="112" t="str">
        <f t="shared" ref="J324:J387" si="19">IF(A324&lt;&gt;"",SUM(H324:I324),"")</f>
        <v/>
      </c>
      <c r="K324" s="68"/>
    </row>
    <row r="325" spans="1:11" x14ac:dyDescent="0.2">
      <c r="A325" s="108"/>
      <c r="B325" s="72" t="str">
        <f>IF(A325&lt;&gt;"",'EDC - PARAMETRAGE'!$A$3,"")</f>
        <v/>
      </c>
      <c r="C325" s="72" t="str">
        <f>IF(A325&lt;&gt;"",VLOOKUP(A325,'EDC - PRODUCTION'!$A$7:$E$49,5,FALSE),"")</f>
        <v/>
      </c>
      <c r="D325" s="72" t="str">
        <f>IF(A325&lt;&gt;"",VLOOKUP(A325,'EDC - PRODUCTION'!$A$7:$I$49,4,FALSE),"")</f>
        <v/>
      </c>
      <c r="E325" s="44"/>
      <c r="F325" s="45" t="str">
        <f t="shared" si="17"/>
        <v/>
      </c>
      <c r="G325" s="56" t="str">
        <f t="shared" si="18"/>
        <v/>
      </c>
      <c r="H325" s="73"/>
      <c r="I325" s="73"/>
      <c r="J325" s="112" t="str">
        <f t="shared" si="19"/>
        <v/>
      </c>
      <c r="K325" s="68"/>
    </row>
    <row r="326" spans="1:11" x14ac:dyDescent="0.2">
      <c r="A326" s="108"/>
      <c r="B326" s="72" t="str">
        <f>IF(A326&lt;&gt;"",'EDC - PARAMETRAGE'!$A$3,"")</f>
        <v/>
      </c>
      <c r="C326" s="72" t="str">
        <f>IF(A326&lt;&gt;"",VLOOKUP(A326,'EDC - PRODUCTION'!$A$7:$E$49,5,FALSE),"")</f>
        <v/>
      </c>
      <c r="D326" s="72" t="str">
        <f>IF(A326&lt;&gt;"",VLOOKUP(A326,'EDC - PRODUCTION'!$A$7:$I$49,4,FALSE),"")</f>
        <v/>
      </c>
      <c r="E326" s="44"/>
      <c r="F326" s="45" t="str">
        <f t="shared" si="17"/>
        <v/>
      </c>
      <c r="G326" s="56" t="str">
        <f t="shared" si="18"/>
        <v/>
      </c>
      <c r="H326" s="73"/>
      <c r="I326" s="73"/>
      <c r="J326" s="112" t="str">
        <f t="shared" si="19"/>
        <v/>
      </c>
      <c r="K326" s="68"/>
    </row>
    <row r="327" spans="1:11" x14ac:dyDescent="0.2">
      <c r="A327" s="108"/>
      <c r="B327" s="72" t="str">
        <f>IF(A327&lt;&gt;"",'EDC - PARAMETRAGE'!$A$3,"")</f>
        <v/>
      </c>
      <c r="C327" s="72" t="str">
        <f>IF(A327&lt;&gt;"",VLOOKUP(A327,'EDC - PRODUCTION'!$A$7:$E$49,5,FALSE),"")</f>
        <v/>
      </c>
      <c r="D327" s="72" t="str">
        <f>IF(A327&lt;&gt;"",VLOOKUP(A327,'EDC - PRODUCTION'!$A$7:$I$49,4,FALSE),"")</f>
        <v/>
      </c>
      <c r="E327" s="44"/>
      <c r="F327" s="45" t="str">
        <f t="shared" si="17"/>
        <v/>
      </c>
      <c r="G327" s="56" t="str">
        <f t="shared" si="18"/>
        <v/>
      </c>
      <c r="H327" s="73"/>
      <c r="I327" s="73"/>
      <c r="J327" s="112" t="str">
        <f t="shared" si="19"/>
        <v/>
      </c>
      <c r="K327" s="68"/>
    </row>
    <row r="328" spans="1:11" x14ac:dyDescent="0.2">
      <c r="A328" s="108"/>
      <c r="B328" s="72" t="str">
        <f>IF(A328&lt;&gt;"",'EDC - PARAMETRAGE'!$A$3,"")</f>
        <v/>
      </c>
      <c r="C328" s="72" t="str">
        <f>IF(A328&lt;&gt;"",VLOOKUP(A328,'EDC - PRODUCTION'!$A$7:$E$49,5,FALSE),"")</f>
        <v/>
      </c>
      <c r="D328" s="72" t="str">
        <f>IF(A328&lt;&gt;"",VLOOKUP(A328,'EDC - PRODUCTION'!$A$7:$I$49,4,FALSE),"")</f>
        <v/>
      </c>
      <c r="E328" s="44"/>
      <c r="F328" s="45" t="str">
        <f t="shared" si="17"/>
        <v/>
      </c>
      <c r="G328" s="56" t="str">
        <f t="shared" si="18"/>
        <v/>
      </c>
      <c r="H328" s="73"/>
      <c r="I328" s="73"/>
      <c r="J328" s="112" t="str">
        <f t="shared" si="19"/>
        <v/>
      </c>
      <c r="K328" s="68"/>
    </row>
    <row r="329" spans="1:11" x14ac:dyDescent="0.2">
      <c r="A329" s="108"/>
      <c r="B329" s="72" t="str">
        <f>IF(A329&lt;&gt;"",'EDC - PARAMETRAGE'!$A$3,"")</f>
        <v/>
      </c>
      <c r="C329" s="72" t="str">
        <f>IF(A329&lt;&gt;"",VLOOKUP(A329,'EDC - PRODUCTION'!$A$7:$E$49,5,FALSE),"")</f>
        <v/>
      </c>
      <c r="D329" s="72" t="str">
        <f>IF(A329&lt;&gt;"",VLOOKUP(A329,'EDC - PRODUCTION'!$A$7:$I$49,4,FALSE),"")</f>
        <v/>
      </c>
      <c r="E329" s="44"/>
      <c r="F329" s="45" t="str">
        <f t="shared" si="17"/>
        <v/>
      </c>
      <c r="G329" s="56" t="str">
        <f t="shared" si="18"/>
        <v/>
      </c>
      <c r="H329" s="73"/>
      <c r="I329" s="73"/>
      <c r="J329" s="112" t="str">
        <f t="shared" si="19"/>
        <v/>
      </c>
      <c r="K329" s="68"/>
    </row>
    <row r="330" spans="1:11" x14ac:dyDescent="0.2">
      <c r="A330" s="108"/>
      <c r="B330" s="72" t="str">
        <f>IF(A330&lt;&gt;"",'EDC - PARAMETRAGE'!$A$3,"")</f>
        <v/>
      </c>
      <c r="C330" s="72" t="str">
        <f>IF(A330&lt;&gt;"",VLOOKUP(A330,'EDC - PRODUCTION'!$A$7:$E$49,5,FALSE),"")</f>
        <v/>
      </c>
      <c r="D330" s="72" t="str">
        <f>IF(A330&lt;&gt;"",VLOOKUP(A330,'EDC - PRODUCTION'!$A$7:$I$49,4,FALSE),"")</f>
        <v/>
      </c>
      <c r="E330" s="44"/>
      <c r="F330" s="45" t="str">
        <f t="shared" si="17"/>
        <v/>
      </c>
      <c r="G330" s="56" t="str">
        <f t="shared" si="18"/>
        <v/>
      </c>
      <c r="H330" s="73"/>
      <c r="I330" s="73"/>
      <c r="J330" s="112" t="str">
        <f t="shared" si="19"/>
        <v/>
      </c>
      <c r="K330" s="68"/>
    </row>
    <row r="331" spans="1:11" x14ac:dyDescent="0.2">
      <c r="A331" s="108"/>
      <c r="B331" s="72" t="str">
        <f>IF(A331&lt;&gt;"",'EDC - PARAMETRAGE'!$A$3,"")</f>
        <v/>
      </c>
      <c r="C331" s="72" t="str">
        <f>IF(A331&lt;&gt;"",VLOOKUP(A331,'EDC - PRODUCTION'!$A$7:$E$49,5,FALSE),"")</f>
        <v/>
      </c>
      <c r="D331" s="72" t="str">
        <f>IF(A331&lt;&gt;"",VLOOKUP(A331,'EDC - PRODUCTION'!$A$7:$I$49,4,FALSE),"")</f>
        <v/>
      </c>
      <c r="E331" s="44"/>
      <c r="F331" s="45" t="str">
        <f t="shared" si="17"/>
        <v/>
      </c>
      <c r="G331" s="56" t="str">
        <f t="shared" si="18"/>
        <v/>
      </c>
      <c r="H331" s="73"/>
      <c r="I331" s="73"/>
      <c r="J331" s="112" t="str">
        <f t="shared" si="19"/>
        <v/>
      </c>
      <c r="K331" s="68"/>
    </row>
    <row r="332" spans="1:11" x14ac:dyDescent="0.2">
      <c r="A332" s="108"/>
      <c r="B332" s="72" t="str">
        <f>IF(A332&lt;&gt;"",'EDC - PARAMETRAGE'!$A$3,"")</f>
        <v/>
      </c>
      <c r="C332" s="72" t="str">
        <f>IF(A332&lt;&gt;"",VLOOKUP(A332,'EDC - PRODUCTION'!$A$7:$E$49,5,FALSE),"")</f>
        <v/>
      </c>
      <c r="D332" s="72" t="str">
        <f>IF(A332&lt;&gt;"",VLOOKUP(A332,'EDC - PRODUCTION'!$A$7:$I$49,4,FALSE),"")</f>
        <v/>
      </c>
      <c r="E332" s="44"/>
      <c r="F332" s="45" t="str">
        <f t="shared" si="17"/>
        <v/>
      </c>
      <c r="G332" s="56" t="str">
        <f t="shared" si="18"/>
        <v/>
      </c>
      <c r="H332" s="73"/>
      <c r="I332" s="73"/>
      <c r="J332" s="112" t="str">
        <f t="shared" si="19"/>
        <v/>
      </c>
      <c r="K332" s="68"/>
    </row>
    <row r="333" spans="1:11" x14ac:dyDescent="0.2">
      <c r="A333" s="108"/>
      <c r="B333" s="72" t="str">
        <f>IF(A333&lt;&gt;"",'EDC - PARAMETRAGE'!$A$3,"")</f>
        <v/>
      </c>
      <c r="C333" s="72" t="str">
        <f>IF(A333&lt;&gt;"",VLOOKUP(A333,'EDC - PRODUCTION'!$A$7:$E$49,5,FALSE),"")</f>
        <v/>
      </c>
      <c r="D333" s="72" t="str">
        <f>IF(A333&lt;&gt;"",VLOOKUP(A333,'EDC - PRODUCTION'!$A$7:$I$49,4,FALSE),"")</f>
        <v/>
      </c>
      <c r="E333" s="44"/>
      <c r="F333" s="45" t="str">
        <f t="shared" si="17"/>
        <v/>
      </c>
      <c r="G333" s="56" t="str">
        <f t="shared" si="18"/>
        <v/>
      </c>
      <c r="H333" s="73"/>
      <c r="I333" s="73"/>
      <c r="J333" s="112" t="str">
        <f t="shared" si="19"/>
        <v/>
      </c>
      <c r="K333" s="68"/>
    </row>
    <row r="334" spans="1:11" x14ac:dyDescent="0.2">
      <c r="A334" s="108"/>
      <c r="B334" s="72" t="str">
        <f>IF(A334&lt;&gt;"",'EDC - PARAMETRAGE'!$A$3,"")</f>
        <v/>
      </c>
      <c r="C334" s="72" t="str">
        <f>IF(A334&lt;&gt;"",VLOOKUP(A334,'EDC - PRODUCTION'!$A$7:$E$49,5,FALSE),"")</f>
        <v/>
      </c>
      <c r="D334" s="72" t="str">
        <f>IF(A334&lt;&gt;"",VLOOKUP(A334,'EDC - PRODUCTION'!$A$7:$I$49,4,FALSE),"")</f>
        <v/>
      </c>
      <c r="E334" s="44"/>
      <c r="F334" s="45" t="str">
        <f t="shared" si="17"/>
        <v/>
      </c>
      <c r="G334" s="56" t="str">
        <f t="shared" si="18"/>
        <v/>
      </c>
      <c r="H334" s="73"/>
      <c r="I334" s="73"/>
      <c r="J334" s="112" t="str">
        <f t="shared" si="19"/>
        <v/>
      </c>
      <c r="K334" s="68"/>
    </row>
    <row r="335" spans="1:11" x14ac:dyDescent="0.2">
      <c r="A335" s="108"/>
      <c r="B335" s="72" t="str">
        <f>IF(A335&lt;&gt;"",'EDC - PARAMETRAGE'!$A$3,"")</f>
        <v/>
      </c>
      <c r="C335" s="72" t="str">
        <f>IF(A335&lt;&gt;"",VLOOKUP(A335,'EDC - PRODUCTION'!$A$7:$E$49,5,FALSE),"")</f>
        <v/>
      </c>
      <c r="D335" s="72" t="str">
        <f>IF(A335&lt;&gt;"",VLOOKUP(A335,'EDC - PRODUCTION'!$A$7:$I$49,4,FALSE),"")</f>
        <v/>
      </c>
      <c r="E335" s="44"/>
      <c r="F335" s="45" t="str">
        <f t="shared" si="17"/>
        <v/>
      </c>
      <c r="G335" s="56" t="str">
        <f t="shared" si="18"/>
        <v/>
      </c>
      <c r="H335" s="73"/>
      <c r="I335" s="73"/>
      <c r="J335" s="112" t="str">
        <f t="shared" si="19"/>
        <v/>
      </c>
      <c r="K335" s="68"/>
    </row>
    <row r="336" spans="1:11" x14ac:dyDescent="0.2">
      <c r="A336" s="108"/>
      <c r="B336" s="72" t="str">
        <f>IF(A336&lt;&gt;"",'EDC - PARAMETRAGE'!$A$3,"")</f>
        <v/>
      </c>
      <c r="C336" s="72" t="str">
        <f>IF(A336&lt;&gt;"",VLOOKUP(A336,'EDC - PRODUCTION'!$A$7:$E$49,5,FALSE),"")</f>
        <v/>
      </c>
      <c r="D336" s="72" t="str">
        <f>IF(A336&lt;&gt;"",VLOOKUP(A336,'EDC - PRODUCTION'!$A$7:$I$49,4,FALSE),"")</f>
        <v/>
      </c>
      <c r="E336" s="44"/>
      <c r="F336" s="45" t="str">
        <f t="shared" si="17"/>
        <v/>
      </c>
      <c r="G336" s="56" t="str">
        <f t="shared" si="18"/>
        <v/>
      </c>
      <c r="H336" s="73"/>
      <c r="I336" s="73"/>
      <c r="J336" s="112" t="str">
        <f t="shared" si="19"/>
        <v/>
      </c>
      <c r="K336" s="68"/>
    </row>
    <row r="337" spans="1:11" x14ac:dyDescent="0.2">
      <c r="A337" s="108"/>
      <c r="B337" s="72" t="str">
        <f>IF(A337&lt;&gt;"",'EDC - PARAMETRAGE'!$A$3,"")</f>
        <v/>
      </c>
      <c r="C337" s="72" t="str">
        <f>IF(A337&lt;&gt;"",VLOOKUP(A337,'EDC - PRODUCTION'!$A$7:$E$49,5,FALSE),"")</f>
        <v/>
      </c>
      <c r="D337" s="72" t="str">
        <f>IF(A337&lt;&gt;"",VLOOKUP(A337,'EDC - PRODUCTION'!$A$7:$I$49,4,FALSE),"")</f>
        <v/>
      </c>
      <c r="E337" s="44"/>
      <c r="F337" s="45" t="str">
        <f t="shared" si="17"/>
        <v/>
      </c>
      <c r="G337" s="56" t="str">
        <f t="shared" si="18"/>
        <v/>
      </c>
      <c r="H337" s="73"/>
      <c r="I337" s="73"/>
      <c r="J337" s="112" t="str">
        <f t="shared" si="19"/>
        <v/>
      </c>
      <c r="K337" s="68"/>
    </row>
    <row r="338" spans="1:11" x14ac:dyDescent="0.2">
      <c r="A338" s="108"/>
      <c r="B338" s="72" t="str">
        <f>IF(A338&lt;&gt;"",'EDC - PARAMETRAGE'!$A$3,"")</f>
        <v/>
      </c>
      <c r="C338" s="72" t="str">
        <f>IF(A338&lt;&gt;"",VLOOKUP(A338,'EDC - PRODUCTION'!$A$7:$E$49,5,FALSE),"")</f>
        <v/>
      </c>
      <c r="D338" s="72" t="str">
        <f>IF(A338&lt;&gt;"",VLOOKUP(A338,'EDC - PRODUCTION'!$A$7:$I$49,4,FALSE),"")</f>
        <v/>
      </c>
      <c r="E338" s="44"/>
      <c r="F338" s="45" t="str">
        <f t="shared" si="17"/>
        <v/>
      </c>
      <c r="G338" s="56" t="str">
        <f t="shared" si="18"/>
        <v/>
      </c>
      <c r="H338" s="73"/>
      <c r="I338" s="73"/>
      <c r="J338" s="112" t="str">
        <f t="shared" si="19"/>
        <v/>
      </c>
      <c r="K338" s="68"/>
    </row>
    <row r="339" spans="1:11" x14ac:dyDescent="0.2">
      <c r="A339" s="108"/>
      <c r="B339" s="72" t="str">
        <f>IF(A339&lt;&gt;"",'EDC - PARAMETRAGE'!$A$3,"")</f>
        <v/>
      </c>
      <c r="C339" s="72" t="str">
        <f>IF(A339&lt;&gt;"",VLOOKUP(A339,'EDC - PRODUCTION'!$A$7:$E$49,5,FALSE),"")</f>
        <v/>
      </c>
      <c r="D339" s="72" t="str">
        <f>IF(A339&lt;&gt;"",VLOOKUP(A339,'EDC - PRODUCTION'!$A$7:$I$49,4,FALSE),"")</f>
        <v/>
      </c>
      <c r="E339" s="44"/>
      <c r="F339" s="45" t="str">
        <f t="shared" si="17"/>
        <v/>
      </c>
      <c r="G339" s="56" t="str">
        <f t="shared" si="18"/>
        <v/>
      </c>
      <c r="H339" s="73"/>
      <c r="I339" s="73"/>
      <c r="J339" s="112" t="str">
        <f t="shared" si="19"/>
        <v/>
      </c>
      <c r="K339" s="68"/>
    </row>
    <row r="340" spans="1:11" x14ac:dyDescent="0.2">
      <c r="A340" s="108"/>
      <c r="B340" s="72" t="str">
        <f>IF(A340&lt;&gt;"",'EDC - PARAMETRAGE'!$A$3,"")</f>
        <v/>
      </c>
      <c r="C340" s="72" t="str">
        <f>IF(A340&lt;&gt;"",VLOOKUP(A340,'EDC - PRODUCTION'!$A$7:$E$49,5,FALSE),"")</f>
        <v/>
      </c>
      <c r="D340" s="72" t="str">
        <f>IF(A340&lt;&gt;"",VLOOKUP(A340,'EDC - PRODUCTION'!$A$7:$I$49,4,FALSE),"")</f>
        <v/>
      </c>
      <c r="E340" s="44"/>
      <c r="F340" s="45" t="str">
        <f t="shared" si="17"/>
        <v/>
      </c>
      <c r="G340" s="56" t="str">
        <f t="shared" si="18"/>
        <v/>
      </c>
      <c r="H340" s="73"/>
      <c r="I340" s="73"/>
      <c r="J340" s="112" t="str">
        <f t="shared" si="19"/>
        <v/>
      </c>
      <c r="K340" s="68"/>
    </row>
    <row r="341" spans="1:11" x14ac:dyDescent="0.2">
      <c r="A341" s="108"/>
      <c r="B341" s="72" t="str">
        <f>IF(A341&lt;&gt;"",'EDC - PARAMETRAGE'!$A$3,"")</f>
        <v/>
      </c>
      <c r="C341" s="72" t="str">
        <f>IF(A341&lt;&gt;"",VLOOKUP(A341,'EDC - PRODUCTION'!$A$7:$E$49,5,FALSE),"")</f>
        <v/>
      </c>
      <c r="D341" s="72" t="str">
        <f>IF(A341&lt;&gt;"",VLOOKUP(A341,'EDC - PRODUCTION'!$A$7:$I$49,4,FALSE),"")</f>
        <v/>
      </c>
      <c r="E341" s="44"/>
      <c r="F341" s="45" t="str">
        <f t="shared" si="17"/>
        <v/>
      </c>
      <c r="G341" s="56" t="str">
        <f t="shared" si="18"/>
        <v/>
      </c>
      <c r="H341" s="73"/>
      <c r="I341" s="73"/>
      <c r="J341" s="112" t="str">
        <f t="shared" si="19"/>
        <v/>
      </c>
      <c r="K341" s="68"/>
    </row>
    <row r="342" spans="1:11" x14ac:dyDescent="0.2">
      <c r="A342" s="108"/>
      <c r="B342" s="72" t="str">
        <f>IF(A342&lt;&gt;"",'EDC - PARAMETRAGE'!$A$3,"")</f>
        <v/>
      </c>
      <c r="C342" s="72" t="str">
        <f>IF(A342&lt;&gt;"",VLOOKUP(A342,'EDC - PRODUCTION'!$A$7:$E$49,5,FALSE),"")</f>
        <v/>
      </c>
      <c r="D342" s="72" t="str">
        <f>IF(A342&lt;&gt;"",VLOOKUP(A342,'EDC - PRODUCTION'!$A$7:$I$49,4,FALSE),"")</f>
        <v/>
      </c>
      <c r="E342" s="44"/>
      <c r="F342" s="45" t="str">
        <f t="shared" si="17"/>
        <v/>
      </c>
      <c r="G342" s="56" t="str">
        <f t="shared" si="18"/>
        <v/>
      </c>
      <c r="H342" s="73"/>
      <c r="I342" s="73"/>
      <c r="J342" s="112" t="str">
        <f t="shared" si="19"/>
        <v/>
      </c>
      <c r="K342" s="68"/>
    </row>
    <row r="343" spans="1:11" x14ac:dyDescent="0.2">
      <c r="A343" s="108"/>
      <c r="B343" s="72" t="str">
        <f>IF(A343&lt;&gt;"",'EDC - PARAMETRAGE'!$A$3,"")</f>
        <v/>
      </c>
      <c r="C343" s="72" t="str">
        <f>IF(A343&lt;&gt;"",VLOOKUP(A343,'EDC - PRODUCTION'!$A$7:$E$49,5,FALSE),"")</f>
        <v/>
      </c>
      <c r="D343" s="72" t="str">
        <f>IF(A343&lt;&gt;"",VLOOKUP(A343,'EDC - PRODUCTION'!$A$7:$I$49,4,FALSE),"")</f>
        <v/>
      </c>
      <c r="E343" s="44"/>
      <c r="F343" s="45" t="str">
        <f t="shared" si="17"/>
        <v/>
      </c>
      <c r="G343" s="56" t="str">
        <f t="shared" si="18"/>
        <v/>
      </c>
      <c r="H343" s="73"/>
      <c r="I343" s="73"/>
      <c r="J343" s="112" t="str">
        <f t="shared" si="19"/>
        <v/>
      </c>
      <c r="K343" s="68"/>
    </row>
    <row r="344" spans="1:11" x14ac:dyDescent="0.2">
      <c r="A344" s="108"/>
      <c r="B344" s="72" t="str">
        <f>IF(A344&lt;&gt;"",'EDC - PARAMETRAGE'!$A$3,"")</f>
        <v/>
      </c>
      <c r="C344" s="72" t="str">
        <f>IF(A344&lt;&gt;"",VLOOKUP(A344,'EDC - PRODUCTION'!$A$7:$E$49,5,FALSE),"")</f>
        <v/>
      </c>
      <c r="D344" s="72" t="str">
        <f>IF(A344&lt;&gt;"",VLOOKUP(A344,'EDC - PRODUCTION'!$A$7:$I$49,4,FALSE),"")</f>
        <v/>
      </c>
      <c r="E344" s="44"/>
      <c r="F344" s="45" t="str">
        <f t="shared" si="17"/>
        <v/>
      </c>
      <c r="G344" s="56" t="str">
        <f t="shared" si="18"/>
        <v/>
      </c>
      <c r="H344" s="73"/>
      <c r="I344" s="73"/>
      <c r="J344" s="112" t="str">
        <f t="shared" si="19"/>
        <v/>
      </c>
      <c r="K344" s="68"/>
    </row>
    <row r="345" spans="1:11" x14ac:dyDescent="0.2">
      <c r="A345" s="108"/>
      <c r="B345" s="72" t="str">
        <f>IF(A345&lt;&gt;"",'EDC - PARAMETRAGE'!$A$3,"")</f>
        <v/>
      </c>
      <c r="C345" s="72" t="str">
        <f>IF(A345&lt;&gt;"",VLOOKUP(A345,'EDC - PRODUCTION'!$A$7:$E$49,5,FALSE),"")</f>
        <v/>
      </c>
      <c r="D345" s="72" t="str">
        <f>IF(A345&lt;&gt;"",VLOOKUP(A345,'EDC - PRODUCTION'!$A$7:$I$49,4,FALSE),"")</f>
        <v/>
      </c>
      <c r="E345" s="44"/>
      <c r="F345" s="45" t="str">
        <f t="shared" si="17"/>
        <v/>
      </c>
      <c r="G345" s="56" t="str">
        <f t="shared" si="18"/>
        <v/>
      </c>
      <c r="H345" s="73"/>
      <c r="I345" s="73"/>
      <c r="J345" s="112" t="str">
        <f t="shared" si="19"/>
        <v/>
      </c>
      <c r="K345" s="68"/>
    </row>
    <row r="346" spans="1:11" x14ac:dyDescent="0.2">
      <c r="A346" s="108"/>
      <c r="B346" s="72" t="str">
        <f>IF(A346&lt;&gt;"",'EDC - PARAMETRAGE'!$A$3,"")</f>
        <v/>
      </c>
      <c r="C346" s="72" t="str">
        <f>IF(A346&lt;&gt;"",VLOOKUP(A346,'EDC - PRODUCTION'!$A$7:$E$49,5,FALSE),"")</f>
        <v/>
      </c>
      <c r="D346" s="72" t="str">
        <f>IF(A346&lt;&gt;"",VLOOKUP(A346,'EDC - PRODUCTION'!$A$7:$I$49,4,FALSE),"")</f>
        <v/>
      </c>
      <c r="E346" s="44"/>
      <c r="F346" s="45" t="str">
        <f t="shared" si="17"/>
        <v/>
      </c>
      <c r="G346" s="56" t="str">
        <f t="shared" si="18"/>
        <v/>
      </c>
      <c r="H346" s="73"/>
      <c r="I346" s="73"/>
      <c r="J346" s="112" t="str">
        <f t="shared" si="19"/>
        <v/>
      </c>
      <c r="K346" s="68"/>
    </row>
    <row r="347" spans="1:11" x14ac:dyDescent="0.2">
      <c r="A347" s="108"/>
      <c r="B347" s="72" t="str">
        <f>IF(A347&lt;&gt;"",'EDC - PARAMETRAGE'!$A$3,"")</f>
        <v/>
      </c>
      <c r="C347" s="72" t="str">
        <f>IF(A347&lt;&gt;"",VLOOKUP(A347,'EDC - PRODUCTION'!$A$7:$E$49,5,FALSE),"")</f>
        <v/>
      </c>
      <c r="D347" s="72" t="str">
        <f>IF(A347&lt;&gt;"",VLOOKUP(A347,'EDC - PRODUCTION'!$A$7:$I$49,4,FALSE),"")</f>
        <v/>
      </c>
      <c r="E347" s="44"/>
      <c r="F347" s="45" t="str">
        <f t="shared" si="17"/>
        <v/>
      </c>
      <c r="G347" s="56" t="str">
        <f t="shared" si="18"/>
        <v/>
      </c>
      <c r="H347" s="73"/>
      <c r="I347" s="73"/>
      <c r="J347" s="112" t="str">
        <f t="shared" si="19"/>
        <v/>
      </c>
      <c r="K347" s="68"/>
    </row>
    <row r="348" spans="1:11" x14ac:dyDescent="0.2">
      <c r="A348" s="108"/>
      <c r="B348" s="72" t="str">
        <f>IF(A348&lt;&gt;"",'EDC - PARAMETRAGE'!$A$3,"")</f>
        <v/>
      </c>
      <c r="C348" s="72" t="str">
        <f>IF(A348&lt;&gt;"",VLOOKUP(A348,'EDC - PRODUCTION'!$A$7:$E$49,5,FALSE),"")</f>
        <v/>
      </c>
      <c r="D348" s="72" t="str">
        <f>IF(A348&lt;&gt;"",VLOOKUP(A348,'EDC - PRODUCTION'!$A$7:$I$49,4,FALSE),"")</f>
        <v/>
      </c>
      <c r="E348" s="44"/>
      <c r="F348" s="45" t="str">
        <f t="shared" si="17"/>
        <v/>
      </c>
      <c r="G348" s="56" t="str">
        <f t="shared" si="18"/>
        <v/>
      </c>
      <c r="H348" s="73"/>
      <c r="I348" s="73"/>
      <c r="J348" s="112" t="str">
        <f t="shared" si="19"/>
        <v/>
      </c>
      <c r="K348" s="68"/>
    </row>
    <row r="349" spans="1:11" x14ac:dyDescent="0.2">
      <c r="A349" s="108"/>
      <c r="B349" s="72" t="str">
        <f>IF(A349&lt;&gt;"",'EDC - PARAMETRAGE'!$A$3,"")</f>
        <v/>
      </c>
      <c r="C349" s="72" t="str">
        <f>IF(A349&lt;&gt;"",VLOOKUP(A349,'EDC - PRODUCTION'!$A$7:$E$49,5,FALSE),"")</f>
        <v/>
      </c>
      <c r="D349" s="72" t="str">
        <f>IF(A349&lt;&gt;"",VLOOKUP(A349,'EDC - PRODUCTION'!$A$7:$I$49,4,FALSE),"")</f>
        <v/>
      </c>
      <c r="E349" s="44"/>
      <c r="F349" s="45" t="str">
        <f t="shared" si="17"/>
        <v/>
      </c>
      <c r="G349" s="56" t="str">
        <f t="shared" si="18"/>
        <v/>
      </c>
      <c r="H349" s="73"/>
      <c r="I349" s="73"/>
      <c r="J349" s="112" t="str">
        <f t="shared" si="19"/>
        <v/>
      </c>
      <c r="K349" s="68"/>
    </row>
    <row r="350" spans="1:11" x14ac:dyDescent="0.2">
      <c r="A350" s="108"/>
      <c r="B350" s="72" t="str">
        <f>IF(A350&lt;&gt;"",'EDC - PARAMETRAGE'!$A$3,"")</f>
        <v/>
      </c>
      <c r="C350" s="72" t="str">
        <f>IF(A350&lt;&gt;"",VLOOKUP(A350,'EDC - PRODUCTION'!$A$7:$E$49,5,FALSE),"")</f>
        <v/>
      </c>
      <c r="D350" s="72" t="str">
        <f>IF(A350&lt;&gt;"",VLOOKUP(A350,'EDC - PRODUCTION'!$A$7:$I$49,4,FALSE),"")</f>
        <v/>
      </c>
      <c r="E350" s="44"/>
      <c r="F350" s="45" t="str">
        <f t="shared" si="17"/>
        <v/>
      </c>
      <c r="G350" s="56" t="str">
        <f t="shared" si="18"/>
        <v/>
      </c>
      <c r="H350" s="73"/>
      <c r="I350" s="73"/>
      <c r="J350" s="112" t="str">
        <f t="shared" si="19"/>
        <v/>
      </c>
      <c r="K350" s="68"/>
    </row>
    <row r="351" spans="1:11" x14ac:dyDescent="0.2">
      <c r="A351" s="108"/>
      <c r="B351" s="72" t="str">
        <f>IF(A351&lt;&gt;"",'EDC - PARAMETRAGE'!$A$3,"")</f>
        <v/>
      </c>
      <c r="C351" s="72" t="str">
        <f>IF(A351&lt;&gt;"",VLOOKUP(A351,'EDC - PRODUCTION'!$A$7:$E$49,5,FALSE),"")</f>
        <v/>
      </c>
      <c r="D351" s="72" t="str">
        <f>IF(A351&lt;&gt;"",VLOOKUP(A351,'EDC - PRODUCTION'!$A$7:$I$49,4,FALSE),"")</f>
        <v/>
      </c>
      <c r="E351" s="44"/>
      <c r="F351" s="45" t="str">
        <f t="shared" si="17"/>
        <v/>
      </c>
      <c r="G351" s="56" t="str">
        <f t="shared" si="18"/>
        <v/>
      </c>
      <c r="H351" s="73"/>
      <c r="I351" s="73"/>
      <c r="J351" s="112" t="str">
        <f t="shared" si="19"/>
        <v/>
      </c>
      <c r="K351" s="68"/>
    </row>
    <row r="352" spans="1:11" x14ac:dyDescent="0.2">
      <c r="A352" s="108"/>
      <c r="B352" s="72" t="str">
        <f>IF(A352&lt;&gt;"",'EDC - PARAMETRAGE'!$A$3,"")</f>
        <v/>
      </c>
      <c r="C352" s="72" t="str">
        <f>IF(A352&lt;&gt;"",VLOOKUP(A352,'EDC - PRODUCTION'!$A$7:$E$49,5,FALSE),"")</f>
        <v/>
      </c>
      <c r="D352" s="72" t="str">
        <f>IF(A352&lt;&gt;"",VLOOKUP(A352,'EDC - PRODUCTION'!$A$7:$I$49,4,FALSE),"")</f>
        <v/>
      </c>
      <c r="E352" s="44"/>
      <c r="F352" s="45" t="str">
        <f t="shared" si="17"/>
        <v/>
      </c>
      <c r="G352" s="56" t="str">
        <f t="shared" si="18"/>
        <v/>
      </c>
      <c r="H352" s="73"/>
      <c r="I352" s="73"/>
      <c r="J352" s="112" t="str">
        <f t="shared" si="19"/>
        <v/>
      </c>
      <c r="K352" s="68"/>
    </row>
    <row r="353" spans="1:11" x14ac:dyDescent="0.2">
      <c r="A353" s="108"/>
      <c r="B353" s="72" t="str">
        <f>IF(A353&lt;&gt;"",'EDC - PARAMETRAGE'!$A$3,"")</f>
        <v/>
      </c>
      <c r="C353" s="72" t="str">
        <f>IF(A353&lt;&gt;"",VLOOKUP(A353,'EDC - PRODUCTION'!$A$7:$E$49,5,FALSE),"")</f>
        <v/>
      </c>
      <c r="D353" s="72" t="str">
        <f>IF(A353&lt;&gt;"",VLOOKUP(A353,'EDC - PRODUCTION'!$A$7:$I$49,4,FALSE),"")</f>
        <v/>
      </c>
      <c r="E353" s="44"/>
      <c r="F353" s="45" t="str">
        <f t="shared" si="17"/>
        <v/>
      </c>
      <c r="G353" s="56" t="str">
        <f t="shared" si="18"/>
        <v/>
      </c>
      <c r="H353" s="73"/>
      <c r="I353" s="73"/>
      <c r="J353" s="112" t="str">
        <f t="shared" si="19"/>
        <v/>
      </c>
      <c r="K353" s="68"/>
    </row>
    <row r="354" spans="1:11" x14ac:dyDescent="0.2">
      <c r="A354" s="108"/>
      <c r="B354" s="72" t="str">
        <f>IF(A354&lt;&gt;"",'EDC - PARAMETRAGE'!$A$3,"")</f>
        <v/>
      </c>
      <c r="C354" s="72" t="str">
        <f>IF(A354&lt;&gt;"",VLOOKUP(A354,'EDC - PRODUCTION'!$A$7:$E$49,5,FALSE),"")</f>
        <v/>
      </c>
      <c r="D354" s="72" t="str">
        <f>IF(A354&lt;&gt;"",VLOOKUP(A354,'EDC - PRODUCTION'!$A$7:$I$49,4,FALSE),"")</f>
        <v/>
      </c>
      <c r="E354" s="44"/>
      <c r="F354" s="45" t="str">
        <f t="shared" si="17"/>
        <v/>
      </c>
      <c r="G354" s="56" t="str">
        <f t="shared" si="18"/>
        <v/>
      </c>
      <c r="H354" s="73"/>
      <c r="I354" s="73"/>
      <c r="J354" s="112" t="str">
        <f t="shared" si="19"/>
        <v/>
      </c>
      <c r="K354" s="68"/>
    </row>
    <row r="355" spans="1:11" x14ac:dyDescent="0.2">
      <c r="A355" s="108"/>
      <c r="B355" s="72" t="str">
        <f>IF(A355&lt;&gt;"",'EDC - PARAMETRAGE'!$A$3,"")</f>
        <v/>
      </c>
      <c r="C355" s="72" t="str">
        <f>IF(A355&lt;&gt;"",VLOOKUP(A355,'EDC - PRODUCTION'!$A$7:$E$49,5,FALSE),"")</f>
        <v/>
      </c>
      <c r="D355" s="72" t="str">
        <f>IF(A355&lt;&gt;"",VLOOKUP(A355,'EDC - PRODUCTION'!$A$7:$I$49,4,FALSE),"")</f>
        <v/>
      </c>
      <c r="E355" s="44"/>
      <c r="F355" s="45" t="str">
        <f t="shared" si="17"/>
        <v/>
      </c>
      <c r="G355" s="56" t="str">
        <f t="shared" si="18"/>
        <v/>
      </c>
      <c r="H355" s="73"/>
      <c r="I355" s="73"/>
      <c r="J355" s="112" t="str">
        <f t="shared" si="19"/>
        <v/>
      </c>
      <c r="K355" s="68"/>
    </row>
    <row r="356" spans="1:11" x14ac:dyDescent="0.2">
      <c r="A356" s="108"/>
      <c r="B356" s="72" t="str">
        <f>IF(A356&lt;&gt;"",'EDC - PARAMETRAGE'!$A$3,"")</f>
        <v/>
      </c>
      <c r="C356" s="72" t="str">
        <f>IF(A356&lt;&gt;"",VLOOKUP(A356,'EDC - PRODUCTION'!$A$7:$E$49,5,FALSE),"")</f>
        <v/>
      </c>
      <c r="D356" s="72" t="str">
        <f>IF(A356&lt;&gt;"",VLOOKUP(A356,'EDC - PRODUCTION'!$A$7:$I$49,4,FALSE),"")</f>
        <v/>
      </c>
      <c r="E356" s="44"/>
      <c r="F356" s="45" t="str">
        <f t="shared" si="17"/>
        <v/>
      </c>
      <c r="G356" s="56" t="str">
        <f t="shared" si="18"/>
        <v/>
      </c>
      <c r="H356" s="73"/>
      <c r="I356" s="73"/>
      <c r="J356" s="112" t="str">
        <f t="shared" si="19"/>
        <v/>
      </c>
      <c r="K356" s="68"/>
    </row>
    <row r="357" spans="1:11" x14ac:dyDescent="0.2">
      <c r="A357" s="108"/>
      <c r="B357" s="72" t="str">
        <f>IF(A357&lt;&gt;"",'EDC - PARAMETRAGE'!$A$3,"")</f>
        <v/>
      </c>
      <c r="C357" s="72" t="str">
        <f>IF(A357&lt;&gt;"",VLOOKUP(A357,'EDC - PRODUCTION'!$A$7:$E$49,5,FALSE),"")</f>
        <v/>
      </c>
      <c r="D357" s="72" t="str">
        <f>IF(A357&lt;&gt;"",VLOOKUP(A357,'EDC - PRODUCTION'!$A$7:$I$49,4,FALSE),"")</f>
        <v/>
      </c>
      <c r="E357" s="44"/>
      <c r="F357" s="45" t="str">
        <f t="shared" si="17"/>
        <v/>
      </c>
      <c r="G357" s="56" t="str">
        <f t="shared" si="18"/>
        <v/>
      </c>
      <c r="H357" s="73"/>
      <c r="I357" s="73"/>
      <c r="J357" s="112" t="str">
        <f t="shared" si="19"/>
        <v/>
      </c>
      <c r="K357" s="68"/>
    </row>
    <row r="358" spans="1:11" x14ac:dyDescent="0.2">
      <c r="A358" s="108"/>
      <c r="B358" s="72" t="str">
        <f>IF(A358&lt;&gt;"",'EDC - PARAMETRAGE'!$A$3,"")</f>
        <v/>
      </c>
      <c r="C358" s="72" t="str">
        <f>IF(A358&lt;&gt;"",VLOOKUP(A358,'EDC - PRODUCTION'!$A$7:$E$49,5,FALSE),"")</f>
        <v/>
      </c>
      <c r="D358" s="72" t="str">
        <f>IF(A358&lt;&gt;"",VLOOKUP(A358,'EDC - PRODUCTION'!$A$7:$I$49,4,FALSE),"")</f>
        <v/>
      </c>
      <c r="E358" s="44"/>
      <c r="F358" s="45" t="str">
        <f t="shared" si="17"/>
        <v/>
      </c>
      <c r="G358" s="56" t="str">
        <f t="shared" si="18"/>
        <v/>
      </c>
      <c r="H358" s="73"/>
      <c r="I358" s="73"/>
      <c r="J358" s="112" t="str">
        <f t="shared" si="19"/>
        <v/>
      </c>
      <c r="K358" s="68"/>
    </row>
    <row r="359" spans="1:11" x14ac:dyDescent="0.2">
      <c r="A359" s="108"/>
      <c r="B359" s="72" t="str">
        <f>IF(A359&lt;&gt;"",'EDC - PARAMETRAGE'!$A$3,"")</f>
        <v/>
      </c>
      <c r="C359" s="72" t="str">
        <f>IF(A359&lt;&gt;"",VLOOKUP(A359,'EDC - PRODUCTION'!$A$7:$E$49,5,FALSE),"")</f>
        <v/>
      </c>
      <c r="D359" s="72" t="str">
        <f>IF(A359&lt;&gt;"",VLOOKUP(A359,'EDC - PRODUCTION'!$A$7:$I$49,4,FALSE),"")</f>
        <v/>
      </c>
      <c r="E359" s="44"/>
      <c r="F359" s="45" t="str">
        <f t="shared" si="17"/>
        <v/>
      </c>
      <c r="G359" s="56" t="str">
        <f t="shared" si="18"/>
        <v/>
      </c>
      <c r="H359" s="73"/>
      <c r="I359" s="73"/>
      <c r="J359" s="112" t="str">
        <f t="shared" si="19"/>
        <v/>
      </c>
      <c r="K359" s="68"/>
    </row>
    <row r="360" spans="1:11" x14ac:dyDescent="0.2">
      <c r="A360" s="108"/>
      <c r="B360" s="72" t="str">
        <f>IF(A360&lt;&gt;"",'EDC - PARAMETRAGE'!$A$3,"")</f>
        <v/>
      </c>
      <c r="C360" s="72" t="str">
        <f>IF(A360&lt;&gt;"",VLOOKUP(A360,'EDC - PRODUCTION'!$A$7:$E$49,5,FALSE),"")</f>
        <v/>
      </c>
      <c r="D360" s="72" t="str">
        <f>IF(A360&lt;&gt;"",VLOOKUP(A360,'EDC - PRODUCTION'!$A$7:$I$49,4,FALSE),"")</f>
        <v/>
      </c>
      <c r="E360" s="44"/>
      <c r="F360" s="45" t="str">
        <f t="shared" si="17"/>
        <v/>
      </c>
      <c r="G360" s="56" t="str">
        <f t="shared" si="18"/>
        <v/>
      </c>
      <c r="H360" s="73"/>
      <c r="I360" s="73"/>
      <c r="J360" s="112" t="str">
        <f t="shared" si="19"/>
        <v/>
      </c>
      <c r="K360" s="68"/>
    </row>
    <row r="361" spans="1:11" x14ac:dyDescent="0.2">
      <c r="A361" s="108"/>
      <c r="B361" s="72" t="str">
        <f>IF(A361&lt;&gt;"",'EDC - PARAMETRAGE'!$A$3,"")</f>
        <v/>
      </c>
      <c r="C361" s="72" t="str">
        <f>IF(A361&lt;&gt;"",VLOOKUP(A361,'EDC - PRODUCTION'!$A$7:$E$49,5,FALSE),"")</f>
        <v/>
      </c>
      <c r="D361" s="72" t="str">
        <f>IF(A361&lt;&gt;"",VLOOKUP(A361,'EDC - PRODUCTION'!$A$7:$I$49,4,FALSE),"")</f>
        <v/>
      </c>
      <c r="E361" s="44"/>
      <c r="F361" s="45" t="str">
        <f t="shared" si="17"/>
        <v/>
      </c>
      <c r="G361" s="56" t="str">
        <f t="shared" si="18"/>
        <v/>
      </c>
      <c r="H361" s="73"/>
      <c r="I361" s="73"/>
      <c r="J361" s="112" t="str">
        <f t="shared" si="19"/>
        <v/>
      </c>
      <c r="K361" s="68"/>
    </row>
    <row r="362" spans="1:11" x14ac:dyDescent="0.2">
      <c r="A362" s="108"/>
      <c r="B362" s="72" t="str">
        <f>IF(A362&lt;&gt;"",'EDC - PARAMETRAGE'!$A$3,"")</f>
        <v/>
      </c>
      <c r="C362" s="72" t="str">
        <f>IF(A362&lt;&gt;"",VLOOKUP(A362,'EDC - PRODUCTION'!$A$7:$E$49,5,FALSE),"")</f>
        <v/>
      </c>
      <c r="D362" s="72" t="str">
        <f>IF(A362&lt;&gt;"",VLOOKUP(A362,'EDC - PRODUCTION'!$A$7:$I$49,4,FALSE),"")</f>
        <v/>
      </c>
      <c r="E362" s="44"/>
      <c r="F362" s="45" t="str">
        <f t="shared" si="17"/>
        <v/>
      </c>
      <c r="G362" s="56" t="str">
        <f t="shared" si="18"/>
        <v/>
      </c>
      <c r="H362" s="73"/>
      <c r="I362" s="73"/>
      <c r="J362" s="112" t="str">
        <f t="shared" si="19"/>
        <v/>
      </c>
      <c r="K362" s="68"/>
    </row>
    <row r="363" spans="1:11" x14ac:dyDescent="0.2">
      <c r="A363" s="108"/>
      <c r="B363" s="72" t="str">
        <f>IF(A363&lt;&gt;"",'EDC - PARAMETRAGE'!$A$3,"")</f>
        <v/>
      </c>
      <c r="C363" s="72" t="str">
        <f>IF(A363&lt;&gt;"",VLOOKUP(A363,'EDC - PRODUCTION'!$A$7:$E$49,5,FALSE),"")</f>
        <v/>
      </c>
      <c r="D363" s="72" t="str">
        <f>IF(A363&lt;&gt;"",VLOOKUP(A363,'EDC - PRODUCTION'!$A$7:$I$49,4,FALSE),"")</f>
        <v/>
      </c>
      <c r="E363" s="44"/>
      <c r="F363" s="45" t="str">
        <f t="shared" si="17"/>
        <v/>
      </c>
      <c r="G363" s="56" t="str">
        <f t="shared" si="18"/>
        <v/>
      </c>
      <c r="H363" s="73"/>
      <c r="I363" s="73"/>
      <c r="J363" s="112" t="str">
        <f t="shared" si="19"/>
        <v/>
      </c>
      <c r="K363" s="68"/>
    </row>
    <row r="364" spans="1:11" x14ac:dyDescent="0.2">
      <c r="A364" s="108"/>
      <c r="B364" s="72" t="str">
        <f>IF(A364&lt;&gt;"",'EDC - PARAMETRAGE'!$A$3,"")</f>
        <v/>
      </c>
      <c r="C364" s="72" t="str">
        <f>IF(A364&lt;&gt;"",VLOOKUP(A364,'EDC - PRODUCTION'!$A$7:$E$49,5,FALSE),"")</f>
        <v/>
      </c>
      <c r="D364" s="72" t="str">
        <f>IF(A364&lt;&gt;"",VLOOKUP(A364,'EDC - PRODUCTION'!$A$7:$I$49,4,FALSE),"")</f>
        <v/>
      </c>
      <c r="E364" s="44"/>
      <c r="F364" s="45" t="str">
        <f t="shared" si="17"/>
        <v/>
      </c>
      <c r="G364" s="56" t="str">
        <f t="shared" si="18"/>
        <v/>
      </c>
      <c r="H364" s="73"/>
      <c r="I364" s="73"/>
      <c r="J364" s="112" t="str">
        <f t="shared" si="19"/>
        <v/>
      </c>
      <c r="K364" s="68"/>
    </row>
    <row r="365" spans="1:11" x14ac:dyDescent="0.2">
      <c r="A365" s="108"/>
      <c r="B365" s="72" t="str">
        <f>IF(A365&lt;&gt;"",'EDC - PARAMETRAGE'!$A$3,"")</f>
        <v/>
      </c>
      <c r="C365" s="72" t="str">
        <f>IF(A365&lt;&gt;"",VLOOKUP(A365,'EDC - PRODUCTION'!$A$7:$E$49,5,FALSE),"")</f>
        <v/>
      </c>
      <c r="D365" s="72" t="str">
        <f>IF(A365&lt;&gt;"",VLOOKUP(A365,'EDC - PRODUCTION'!$A$7:$I$49,4,FALSE),"")</f>
        <v/>
      </c>
      <c r="E365" s="44"/>
      <c r="F365" s="45" t="str">
        <f t="shared" si="17"/>
        <v/>
      </c>
      <c r="G365" s="56" t="str">
        <f t="shared" si="18"/>
        <v/>
      </c>
      <c r="H365" s="73"/>
      <c r="I365" s="73"/>
      <c r="J365" s="112" t="str">
        <f t="shared" si="19"/>
        <v/>
      </c>
      <c r="K365" s="68"/>
    </row>
    <row r="366" spans="1:11" x14ac:dyDescent="0.2">
      <c r="A366" s="108"/>
      <c r="B366" s="72" t="str">
        <f>IF(A366&lt;&gt;"",'EDC - PARAMETRAGE'!$A$3,"")</f>
        <v/>
      </c>
      <c r="C366" s="72" t="str">
        <f>IF(A366&lt;&gt;"",VLOOKUP(A366,'EDC - PRODUCTION'!$A$7:$E$49,5,FALSE),"")</f>
        <v/>
      </c>
      <c r="D366" s="72" t="str">
        <f>IF(A366&lt;&gt;"",VLOOKUP(A366,'EDC - PRODUCTION'!$A$7:$I$49,4,FALSE),"")</f>
        <v/>
      </c>
      <c r="E366" s="44"/>
      <c r="F366" s="45" t="str">
        <f t="shared" si="17"/>
        <v/>
      </c>
      <c r="G366" s="56" t="str">
        <f t="shared" si="18"/>
        <v/>
      </c>
      <c r="H366" s="73"/>
      <c r="I366" s="73"/>
      <c r="J366" s="112" t="str">
        <f t="shared" si="19"/>
        <v/>
      </c>
      <c r="K366" s="68"/>
    </row>
    <row r="367" spans="1:11" x14ac:dyDescent="0.2">
      <c r="A367" s="108"/>
      <c r="B367" s="72" t="str">
        <f>IF(A367&lt;&gt;"",'EDC - PARAMETRAGE'!$A$3,"")</f>
        <v/>
      </c>
      <c r="C367" s="72" t="str">
        <f>IF(A367&lt;&gt;"",VLOOKUP(A367,'EDC - PRODUCTION'!$A$7:$E$49,5,FALSE),"")</f>
        <v/>
      </c>
      <c r="D367" s="72" t="str">
        <f>IF(A367&lt;&gt;"",VLOOKUP(A367,'EDC - PRODUCTION'!$A$7:$I$49,4,FALSE),"")</f>
        <v/>
      </c>
      <c r="E367" s="44"/>
      <c r="F367" s="45" t="str">
        <f t="shared" si="17"/>
        <v/>
      </c>
      <c r="G367" s="56" t="str">
        <f t="shared" si="18"/>
        <v/>
      </c>
      <c r="H367" s="73"/>
      <c r="I367" s="73"/>
      <c r="J367" s="112" t="str">
        <f t="shared" si="19"/>
        <v/>
      </c>
      <c r="K367" s="68"/>
    </row>
    <row r="368" spans="1:11" x14ac:dyDescent="0.2">
      <c r="A368" s="108"/>
      <c r="B368" s="72" t="str">
        <f>IF(A368&lt;&gt;"",'EDC - PARAMETRAGE'!$A$3,"")</f>
        <v/>
      </c>
      <c r="C368" s="72" t="str">
        <f>IF(A368&lt;&gt;"",VLOOKUP(A368,'EDC - PRODUCTION'!$A$7:$E$49,5,FALSE),"")</f>
        <v/>
      </c>
      <c r="D368" s="72" t="str">
        <f>IF(A368&lt;&gt;"",VLOOKUP(A368,'EDC - PRODUCTION'!$A$7:$I$49,4,FALSE),"")</f>
        <v/>
      </c>
      <c r="E368" s="44"/>
      <c r="F368" s="45" t="str">
        <f t="shared" si="17"/>
        <v/>
      </c>
      <c r="G368" s="56" t="str">
        <f t="shared" si="18"/>
        <v/>
      </c>
      <c r="H368" s="73"/>
      <c r="I368" s="73"/>
      <c r="J368" s="112" t="str">
        <f t="shared" si="19"/>
        <v/>
      </c>
      <c r="K368" s="68"/>
    </row>
    <row r="369" spans="1:11" x14ac:dyDescent="0.2">
      <c r="A369" s="108"/>
      <c r="B369" s="72" t="str">
        <f>IF(A369&lt;&gt;"",'EDC - PARAMETRAGE'!$A$3,"")</f>
        <v/>
      </c>
      <c r="C369" s="72" t="str">
        <f>IF(A369&lt;&gt;"",VLOOKUP(A369,'EDC - PRODUCTION'!$A$7:$E$49,5,FALSE),"")</f>
        <v/>
      </c>
      <c r="D369" s="72" t="str">
        <f>IF(A369&lt;&gt;"",VLOOKUP(A369,'EDC - PRODUCTION'!$A$7:$I$49,4,FALSE),"")</f>
        <v/>
      </c>
      <c r="E369" s="44"/>
      <c r="F369" s="45" t="str">
        <f t="shared" si="17"/>
        <v/>
      </c>
      <c r="G369" s="56" t="str">
        <f t="shared" si="18"/>
        <v/>
      </c>
      <c r="H369" s="73"/>
      <c r="I369" s="73"/>
      <c r="J369" s="112" t="str">
        <f t="shared" si="19"/>
        <v/>
      </c>
      <c r="K369" s="68"/>
    </row>
    <row r="370" spans="1:11" x14ac:dyDescent="0.2">
      <c r="A370" s="108"/>
      <c r="B370" s="72" t="str">
        <f>IF(A370&lt;&gt;"",'EDC - PARAMETRAGE'!$A$3,"")</f>
        <v/>
      </c>
      <c r="C370" s="72" t="str">
        <f>IF(A370&lt;&gt;"",VLOOKUP(A370,'EDC - PRODUCTION'!$A$7:$E$49,5,FALSE),"")</f>
        <v/>
      </c>
      <c r="D370" s="72" t="str">
        <f>IF(A370&lt;&gt;"",VLOOKUP(A370,'EDC - PRODUCTION'!$A$7:$I$49,4,FALSE),"")</f>
        <v/>
      </c>
      <c r="E370" s="44"/>
      <c r="F370" s="45" t="str">
        <f t="shared" si="17"/>
        <v/>
      </c>
      <c r="G370" s="56" t="str">
        <f t="shared" si="18"/>
        <v/>
      </c>
      <c r="H370" s="73"/>
      <c r="I370" s="73"/>
      <c r="J370" s="112" t="str">
        <f t="shared" si="19"/>
        <v/>
      </c>
      <c r="K370" s="68"/>
    </row>
    <row r="371" spans="1:11" x14ac:dyDescent="0.2">
      <c r="A371" s="108"/>
      <c r="B371" s="72" t="str">
        <f>IF(A371&lt;&gt;"",'EDC - PARAMETRAGE'!$A$3,"")</f>
        <v/>
      </c>
      <c r="C371" s="72" t="str">
        <f>IF(A371&lt;&gt;"",VLOOKUP(A371,'EDC - PRODUCTION'!$A$7:$E$49,5,FALSE),"")</f>
        <v/>
      </c>
      <c r="D371" s="72" t="str">
        <f>IF(A371&lt;&gt;"",VLOOKUP(A371,'EDC - PRODUCTION'!$A$7:$I$49,4,FALSE),"")</f>
        <v/>
      </c>
      <c r="E371" s="44"/>
      <c r="F371" s="45" t="str">
        <f t="shared" si="17"/>
        <v/>
      </c>
      <c r="G371" s="56" t="str">
        <f t="shared" si="18"/>
        <v/>
      </c>
      <c r="H371" s="73"/>
      <c r="I371" s="73"/>
      <c r="J371" s="112" t="str">
        <f t="shared" si="19"/>
        <v/>
      </c>
      <c r="K371" s="68"/>
    </row>
    <row r="372" spans="1:11" x14ac:dyDescent="0.2">
      <c r="A372" s="108"/>
      <c r="B372" s="72" t="str">
        <f>IF(A372&lt;&gt;"",'EDC - PARAMETRAGE'!$A$3,"")</f>
        <v/>
      </c>
      <c r="C372" s="72" t="str">
        <f>IF(A372&lt;&gt;"",VLOOKUP(A372,'EDC - PRODUCTION'!$A$7:$E$49,5,FALSE),"")</f>
        <v/>
      </c>
      <c r="D372" s="72" t="str">
        <f>IF(A372&lt;&gt;"",VLOOKUP(A372,'EDC - PRODUCTION'!$A$7:$I$49,4,FALSE),"")</f>
        <v/>
      </c>
      <c r="E372" s="44"/>
      <c r="F372" s="45" t="str">
        <f t="shared" si="17"/>
        <v/>
      </c>
      <c r="G372" s="56" t="str">
        <f t="shared" si="18"/>
        <v/>
      </c>
      <c r="H372" s="73"/>
      <c r="I372" s="73"/>
      <c r="J372" s="112" t="str">
        <f t="shared" si="19"/>
        <v/>
      </c>
      <c r="K372" s="68"/>
    </row>
    <row r="373" spans="1:11" x14ac:dyDescent="0.2">
      <c r="A373" s="108"/>
      <c r="B373" s="72" t="str">
        <f>IF(A373&lt;&gt;"",'EDC - PARAMETRAGE'!$A$3,"")</f>
        <v/>
      </c>
      <c r="C373" s="72" t="str">
        <f>IF(A373&lt;&gt;"",VLOOKUP(A373,'EDC - PRODUCTION'!$A$7:$E$49,5,FALSE),"")</f>
        <v/>
      </c>
      <c r="D373" s="72" t="str">
        <f>IF(A373&lt;&gt;"",VLOOKUP(A373,'EDC - PRODUCTION'!$A$7:$I$49,4,FALSE),"")</f>
        <v/>
      </c>
      <c r="E373" s="44"/>
      <c r="F373" s="45" t="str">
        <f t="shared" si="17"/>
        <v/>
      </c>
      <c r="G373" s="56" t="str">
        <f t="shared" si="18"/>
        <v/>
      </c>
      <c r="H373" s="73"/>
      <c r="I373" s="73"/>
      <c r="J373" s="112" t="str">
        <f t="shared" si="19"/>
        <v/>
      </c>
      <c r="K373" s="68"/>
    </row>
    <row r="374" spans="1:11" x14ac:dyDescent="0.2">
      <c r="A374" s="108"/>
      <c r="B374" s="72" t="str">
        <f>IF(A374&lt;&gt;"",'EDC - PARAMETRAGE'!$A$3,"")</f>
        <v/>
      </c>
      <c r="C374" s="72" t="str">
        <f>IF(A374&lt;&gt;"",VLOOKUP(A374,'EDC - PRODUCTION'!$A$7:$E$49,5,FALSE),"")</f>
        <v/>
      </c>
      <c r="D374" s="72" t="str">
        <f>IF(A374&lt;&gt;"",VLOOKUP(A374,'EDC - PRODUCTION'!$A$7:$I$49,4,FALSE),"")</f>
        <v/>
      </c>
      <c r="E374" s="44"/>
      <c r="F374" s="45" t="str">
        <f t="shared" si="17"/>
        <v/>
      </c>
      <c r="G374" s="56" t="str">
        <f t="shared" si="18"/>
        <v/>
      </c>
      <c r="H374" s="73"/>
      <c r="I374" s="73"/>
      <c r="J374" s="112" t="str">
        <f t="shared" si="19"/>
        <v/>
      </c>
      <c r="K374" s="68"/>
    </row>
    <row r="375" spans="1:11" x14ac:dyDescent="0.2">
      <c r="A375" s="108"/>
      <c r="B375" s="72" t="str">
        <f>IF(A375&lt;&gt;"",'EDC - PARAMETRAGE'!$A$3,"")</f>
        <v/>
      </c>
      <c r="C375" s="72" t="str">
        <f>IF(A375&lt;&gt;"",VLOOKUP(A375,'EDC - PRODUCTION'!$A$7:$E$49,5,FALSE),"")</f>
        <v/>
      </c>
      <c r="D375" s="72" t="str">
        <f>IF(A375&lt;&gt;"",VLOOKUP(A375,'EDC - PRODUCTION'!$A$7:$I$49,4,FALSE),"")</f>
        <v/>
      </c>
      <c r="E375" s="44"/>
      <c r="F375" s="45" t="str">
        <f t="shared" si="17"/>
        <v/>
      </c>
      <c r="G375" s="56" t="str">
        <f t="shared" si="18"/>
        <v/>
      </c>
      <c r="H375" s="73"/>
      <c r="I375" s="73"/>
      <c r="J375" s="112" t="str">
        <f t="shared" si="19"/>
        <v/>
      </c>
      <c r="K375" s="68"/>
    </row>
    <row r="376" spans="1:11" x14ac:dyDescent="0.2">
      <c r="A376" s="108"/>
      <c r="B376" s="72" t="str">
        <f>IF(A376&lt;&gt;"",'EDC - PARAMETRAGE'!$A$3,"")</f>
        <v/>
      </c>
      <c r="C376" s="72" t="str">
        <f>IF(A376&lt;&gt;"",VLOOKUP(A376,'EDC - PRODUCTION'!$A$7:$E$49,5,FALSE),"")</f>
        <v/>
      </c>
      <c r="D376" s="72" t="str">
        <f>IF(A376&lt;&gt;"",VLOOKUP(A376,'EDC - PRODUCTION'!$A$7:$I$49,4,FALSE),"")</f>
        <v/>
      </c>
      <c r="E376" s="44"/>
      <c r="F376" s="45" t="str">
        <f t="shared" si="17"/>
        <v/>
      </c>
      <c r="G376" s="56" t="str">
        <f t="shared" si="18"/>
        <v/>
      </c>
      <c r="H376" s="73"/>
      <c r="I376" s="73"/>
      <c r="J376" s="112" t="str">
        <f t="shared" si="19"/>
        <v/>
      </c>
      <c r="K376" s="68"/>
    </row>
    <row r="377" spans="1:11" x14ac:dyDescent="0.2">
      <c r="A377" s="108"/>
      <c r="B377" s="72" t="str">
        <f>IF(A377&lt;&gt;"",'EDC - PARAMETRAGE'!$A$3,"")</f>
        <v/>
      </c>
      <c r="C377" s="72" t="str">
        <f>IF(A377&lt;&gt;"",VLOOKUP(A377,'EDC - PRODUCTION'!$A$7:$E$49,5,FALSE),"")</f>
        <v/>
      </c>
      <c r="D377" s="72" t="str">
        <f>IF(A377&lt;&gt;"",VLOOKUP(A377,'EDC - PRODUCTION'!$A$7:$I$49,4,FALSE),"")</f>
        <v/>
      </c>
      <c r="E377" s="44"/>
      <c r="F377" s="45" t="str">
        <f t="shared" si="17"/>
        <v/>
      </c>
      <c r="G377" s="56" t="str">
        <f t="shared" si="18"/>
        <v/>
      </c>
      <c r="H377" s="73"/>
      <c r="I377" s="73"/>
      <c r="J377" s="112" t="str">
        <f t="shared" si="19"/>
        <v/>
      </c>
      <c r="K377" s="68"/>
    </row>
    <row r="378" spans="1:11" x14ac:dyDescent="0.2">
      <c r="A378" s="108"/>
      <c r="B378" s="72" t="str">
        <f>IF(A378&lt;&gt;"",'EDC - PARAMETRAGE'!$A$3,"")</f>
        <v/>
      </c>
      <c r="C378" s="72" t="str">
        <f>IF(A378&lt;&gt;"",VLOOKUP(A378,'EDC - PRODUCTION'!$A$7:$E$49,5,FALSE),"")</f>
        <v/>
      </c>
      <c r="D378" s="72" t="str">
        <f>IF(A378&lt;&gt;"",VLOOKUP(A378,'EDC - PRODUCTION'!$A$7:$I$49,4,FALSE),"")</f>
        <v/>
      </c>
      <c r="E378" s="44"/>
      <c r="F378" s="45" t="str">
        <f t="shared" si="17"/>
        <v/>
      </c>
      <c r="G378" s="56" t="str">
        <f t="shared" si="18"/>
        <v/>
      </c>
      <c r="H378" s="73"/>
      <c r="I378" s="73"/>
      <c r="J378" s="112" t="str">
        <f t="shared" si="19"/>
        <v/>
      </c>
      <c r="K378" s="68"/>
    </row>
    <row r="379" spans="1:11" x14ac:dyDescent="0.2">
      <c r="A379" s="108"/>
      <c r="B379" s="72" t="str">
        <f>IF(A379&lt;&gt;"",'EDC - PARAMETRAGE'!$A$3,"")</f>
        <v/>
      </c>
      <c r="C379" s="72" t="str">
        <f>IF(A379&lt;&gt;"",VLOOKUP(A379,'EDC - PRODUCTION'!$A$7:$E$49,5,FALSE),"")</f>
        <v/>
      </c>
      <c r="D379" s="72" t="str">
        <f>IF(A379&lt;&gt;"",VLOOKUP(A379,'EDC - PRODUCTION'!$A$7:$I$49,4,FALSE),"")</f>
        <v/>
      </c>
      <c r="E379" s="44"/>
      <c r="F379" s="45" t="str">
        <f t="shared" si="17"/>
        <v/>
      </c>
      <c r="G379" s="56" t="str">
        <f t="shared" si="18"/>
        <v/>
      </c>
      <c r="H379" s="73"/>
      <c r="I379" s="73"/>
      <c r="J379" s="112" t="str">
        <f t="shared" si="19"/>
        <v/>
      </c>
      <c r="K379" s="68"/>
    </row>
    <row r="380" spans="1:11" x14ac:dyDescent="0.2">
      <c r="A380" s="108"/>
      <c r="B380" s="72" t="str">
        <f>IF(A380&lt;&gt;"",'EDC - PARAMETRAGE'!$A$3,"")</f>
        <v/>
      </c>
      <c r="C380" s="72" t="str">
        <f>IF(A380&lt;&gt;"",VLOOKUP(A380,'EDC - PRODUCTION'!$A$7:$E$49,5,FALSE),"")</f>
        <v/>
      </c>
      <c r="D380" s="72" t="str">
        <f>IF(A380&lt;&gt;"",VLOOKUP(A380,'EDC - PRODUCTION'!$A$7:$I$49,4,FALSE),"")</f>
        <v/>
      </c>
      <c r="E380" s="44"/>
      <c r="F380" s="45" t="str">
        <f t="shared" si="17"/>
        <v/>
      </c>
      <c r="G380" s="56" t="str">
        <f t="shared" si="18"/>
        <v/>
      </c>
      <c r="H380" s="73"/>
      <c r="I380" s="73"/>
      <c r="J380" s="112" t="str">
        <f t="shared" si="19"/>
        <v/>
      </c>
      <c r="K380" s="68"/>
    </row>
    <row r="381" spans="1:11" x14ac:dyDescent="0.2">
      <c r="A381" s="108"/>
      <c r="B381" s="72" t="str">
        <f>IF(A381&lt;&gt;"",'EDC - PARAMETRAGE'!$A$3,"")</f>
        <v/>
      </c>
      <c r="C381" s="72" t="str">
        <f>IF(A381&lt;&gt;"",VLOOKUP(A381,'EDC - PRODUCTION'!$A$7:$E$49,5,FALSE),"")</f>
        <v/>
      </c>
      <c r="D381" s="72" t="str">
        <f>IF(A381&lt;&gt;"",VLOOKUP(A381,'EDC - PRODUCTION'!$A$7:$I$49,4,FALSE),"")</f>
        <v/>
      </c>
      <c r="E381" s="44"/>
      <c r="F381" s="45" t="str">
        <f t="shared" si="17"/>
        <v/>
      </c>
      <c r="G381" s="56" t="str">
        <f t="shared" si="18"/>
        <v/>
      </c>
      <c r="H381" s="73"/>
      <c r="I381" s="73"/>
      <c r="J381" s="112" t="str">
        <f t="shared" si="19"/>
        <v/>
      </c>
      <c r="K381" s="68"/>
    </row>
    <row r="382" spans="1:11" x14ac:dyDescent="0.2">
      <c r="A382" s="108"/>
      <c r="B382" s="72" t="str">
        <f>IF(A382&lt;&gt;"",'EDC - PARAMETRAGE'!$A$3,"")</f>
        <v/>
      </c>
      <c r="C382" s="72" t="str">
        <f>IF(A382&lt;&gt;"",VLOOKUP(A382,'EDC - PRODUCTION'!$A$7:$E$49,5,FALSE),"")</f>
        <v/>
      </c>
      <c r="D382" s="72" t="str">
        <f>IF(A382&lt;&gt;"",VLOOKUP(A382,'EDC - PRODUCTION'!$A$7:$I$49,4,FALSE),"")</f>
        <v/>
      </c>
      <c r="E382" s="44"/>
      <c r="F382" s="45" t="str">
        <f t="shared" si="17"/>
        <v/>
      </c>
      <c r="G382" s="56" t="str">
        <f t="shared" si="18"/>
        <v/>
      </c>
      <c r="H382" s="73"/>
      <c r="I382" s="73"/>
      <c r="J382" s="112" t="str">
        <f t="shared" si="19"/>
        <v/>
      </c>
      <c r="K382" s="68"/>
    </row>
    <row r="383" spans="1:11" x14ac:dyDescent="0.2">
      <c r="A383" s="108"/>
      <c r="B383" s="72" t="str">
        <f>IF(A383&lt;&gt;"",'EDC - PARAMETRAGE'!$A$3,"")</f>
        <v/>
      </c>
      <c r="C383" s="72" t="str">
        <f>IF(A383&lt;&gt;"",VLOOKUP(A383,'EDC - PRODUCTION'!$A$7:$E$49,5,FALSE),"")</f>
        <v/>
      </c>
      <c r="D383" s="72" t="str">
        <f>IF(A383&lt;&gt;"",VLOOKUP(A383,'EDC - PRODUCTION'!$A$7:$I$49,4,FALSE),"")</f>
        <v/>
      </c>
      <c r="E383" s="44"/>
      <c r="F383" s="45" t="str">
        <f t="shared" si="17"/>
        <v/>
      </c>
      <c r="G383" s="56" t="str">
        <f t="shared" si="18"/>
        <v/>
      </c>
      <c r="H383" s="73"/>
      <c r="I383" s="73"/>
      <c r="J383" s="112" t="str">
        <f t="shared" si="19"/>
        <v/>
      </c>
      <c r="K383" s="68"/>
    </row>
    <row r="384" spans="1:11" x14ac:dyDescent="0.2">
      <c r="A384" s="108"/>
      <c r="B384" s="72" t="str">
        <f>IF(A384&lt;&gt;"",'EDC - PARAMETRAGE'!$A$3,"")</f>
        <v/>
      </c>
      <c r="C384" s="72" t="str">
        <f>IF(A384&lt;&gt;"",VLOOKUP(A384,'EDC - PRODUCTION'!$A$7:$E$49,5,FALSE),"")</f>
        <v/>
      </c>
      <c r="D384" s="72" t="str">
        <f>IF(A384&lt;&gt;"",VLOOKUP(A384,'EDC - PRODUCTION'!$A$7:$I$49,4,FALSE),"")</f>
        <v/>
      </c>
      <c r="E384" s="44"/>
      <c r="F384" s="45" t="str">
        <f t="shared" si="17"/>
        <v/>
      </c>
      <c r="G384" s="56" t="str">
        <f t="shared" si="18"/>
        <v/>
      </c>
      <c r="H384" s="73"/>
      <c r="I384" s="73"/>
      <c r="J384" s="112" t="str">
        <f t="shared" si="19"/>
        <v/>
      </c>
      <c r="K384" s="68"/>
    </row>
    <row r="385" spans="1:11" x14ac:dyDescent="0.2">
      <c r="A385" s="108"/>
      <c r="B385" s="72" t="str">
        <f>IF(A385&lt;&gt;"",'EDC - PARAMETRAGE'!$A$3,"")</f>
        <v/>
      </c>
      <c r="C385" s="72" t="str">
        <f>IF(A385&lt;&gt;"",VLOOKUP(A385,'EDC - PRODUCTION'!$A$7:$E$49,5,FALSE),"")</f>
        <v/>
      </c>
      <c r="D385" s="72" t="str">
        <f>IF(A385&lt;&gt;"",VLOOKUP(A385,'EDC - PRODUCTION'!$A$7:$I$49,4,FALSE),"")</f>
        <v/>
      </c>
      <c r="E385" s="44"/>
      <c r="F385" s="45" t="str">
        <f t="shared" si="17"/>
        <v/>
      </c>
      <c r="G385" s="56" t="str">
        <f t="shared" si="18"/>
        <v/>
      </c>
      <c r="H385" s="73"/>
      <c r="I385" s="73"/>
      <c r="J385" s="112" t="str">
        <f t="shared" si="19"/>
        <v/>
      </c>
      <c r="K385" s="68"/>
    </row>
    <row r="386" spans="1:11" x14ac:dyDescent="0.2">
      <c r="A386" s="108"/>
      <c r="B386" s="72" t="str">
        <f>IF(A386&lt;&gt;"",'EDC - PARAMETRAGE'!$A$3,"")</f>
        <v/>
      </c>
      <c r="C386" s="72" t="str">
        <f>IF(A386&lt;&gt;"",VLOOKUP(A386,'EDC - PRODUCTION'!$A$7:$E$49,5,FALSE),"")</f>
        <v/>
      </c>
      <c r="D386" s="72" t="str">
        <f>IF(A386&lt;&gt;"",VLOOKUP(A386,'EDC - PRODUCTION'!$A$7:$I$49,4,FALSE),"")</f>
        <v/>
      </c>
      <c r="E386" s="44"/>
      <c r="F386" s="45" t="str">
        <f t="shared" si="17"/>
        <v/>
      </c>
      <c r="G386" s="56" t="str">
        <f t="shared" si="18"/>
        <v/>
      </c>
      <c r="H386" s="73"/>
      <c r="I386" s="73"/>
      <c r="J386" s="112" t="str">
        <f t="shared" si="19"/>
        <v/>
      </c>
      <c r="K386" s="68"/>
    </row>
    <row r="387" spans="1:11" x14ac:dyDescent="0.2">
      <c r="A387" s="108"/>
      <c r="B387" s="72" t="str">
        <f>IF(A387&lt;&gt;"",'EDC - PARAMETRAGE'!$A$3,"")</f>
        <v/>
      </c>
      <c r="C387" s="72" t="str">
        <f>IF(A387&lt;&gt;"",VLOOKUP(A387,'EDC - PRODUCTION'!$A$7:$E$49,5,FALSE),"")</f>
        <v/>
      </c>
      <c r="D387" s="72" t="str">
        <f>IF(A387&lt;&gt;"",VLOOKUP(A387,'EDC - PRODUCTION'!$A$7:$I$49,4,FALSE),"")</f>
        <v/>
      </c>
      <c r="E387" s="44"/>
      <c r="F387" s="45" t="str">
        <f t="shared" si="17"/>
        <v/>
      </c>
      <c r="G387" s="56" t="str">
        <f t="shared" si="18"/>
        <v/>
      </c>
      <c r="H387" s="73"/>
      <c r="I387" s="73"/>
      <c r="J387" s="112" t="str">
        <f t="shared" si="19"/>
        <v/>
      </c>
      <c r="K387" s="68"/>
    </row>
    <row r="388" spans="1:11" x14ac:dyDescent="0.2">
      <c r="A388" s="108"/>
      <c r="B388" s="72" t="str">
        <f>IF(A388&lt;&gt;"",'EDC - PARAMETRAGE'!$A$3,"")</f>
        <v/>
      </c>
      <c r="C388" s="72" t="str">
        <f>IF(A388&lt;&gt;"",VLOOKUP(A388,'EDC - PRODUCTION'!$A$7:$E$49,5,FALSE),"")</f>
        <v/>
      </c>
      <c r="D388" s="72" t="str">
        <f>IF(A388&lt;&gt;"",VLOOKUP(A388,'EDC - PRODUCTION'!$A$7:$I$49,4,FALSE),"")</f>
        <v/>
      </c>
      <c r="E388" s="44"/>
      <c r="F388" s="45" t="str">
        <f t="shared" ref="F388:F451" si="20">IF(A388&lt;&gt;"","DDE","")</f>
        <v/>
      </c>
      <c r="G388" s="56" t="str">
        <f t="shared" ref="G388:G451" si="21">IF(A388&lt;&gt;"",1,"")</f>
        <v/>
      </c>
      <c r="H388" s="73"/>
      <c r="I388" s="73"/>
      <c r="J388" s="112" t="str">
        <f t="shared" ref="J388:J451" si="22">IF(A388&lt;&gt;"",SUM(H388:I388),"")</f>
        <v/>
      </c>
      <c r="K388" s="68"/>
    </row>
    <row r="389" spans="1:11" x14ac:dyDescent="0.2">
      <c r="A389" s="108"/>
      <c r="B389" s="72" t="str">
        <f>IF(A389&lt;&gt;"",'EDC - PARAMETRAGE'!$A$3,"")</f>
        <v/>
      </c>
      <c r="C389" s="72" t="str">
        <f>IF(A389&lt;&gt;"",VLOOKUP(A389,'EDC - PRODUCTION'!$A$7:$E$49,5,FALSE),"")</f>
        <v/>
      </c>
      <c r="D389" s="72" t="str">
        <f>IF(A389&lt;&gt;"",VLOOKUP(A389,'EDC - PRODUCTION'!$A$7:$I$49,4,FALSE),"")</f>
        <v/>
      </c>
      <c r="E389" s="44"/>
      <c r="F389" s="45" t="str">
        <f t="shared" si="20"/>
        <v/>
      </c>
      <c r="G389" s="56" t="str">
        <f t="shared" si="21"/>
        <v/>
      </c>
      <c r="H389" s="73"/>
      <c r="I389" s="73"/>
      <c r="J389" s="112" t="str">
        <f t="shared" si="22"/>
        <v/>
      </c>
      <c r="K389" s="68"/>
    </row>
    <row r="390" spans="1:11" x14ac:dyDescent="0.2">
      <c r="A390" s="108"/>
      <c r="B390" s="72" t="str">
        <f>IF(A390&lt;&gt;"",'EDC - PARAMETRAGE'!$A$3,"")</f>
        <v/>
      </c>
      <c r="C390" s="72" t="str">
        <f>IF(A390&lt;&gt;"",VLOOKUP(A390,'EDC - PRODUCTION'!$A$7:$E$49,5,FALSE),"")</f>
        <v/>
      </c>
      <c r="D390" s="72" t="str">
        <f>IF(A390&lt;&gt;"",VLOOKUP(A390,'EDC - PRODUCTION'!$A$7:$I$49,4,FALSE),"")</f>
        <v/>
      </c>
      <c r="E390" s="44"/>
      <c r="F390" s="45" t="str">
        <f t="shared" si="20"/>
        <v/>
      </c>
      <c r="G390" s="56" t="str">
        <f t="shared" si="21"/>
        <v/>
      </c>
      <c r="H390" s="73"/>
      <c r="I390" s="73"/>
      <c r="J390" s="112" t="str">
        <f t="shared" si="22"/>
        <v/>
      </c>
      <c r="K390" s="68"/>
    </row>
    <row r="391" spans="1:11" x14ac:dyDescent="0.2">
      <c r="A391" s="108"/>
      <c r="B391" s="72" t="str">
        <f>IF(A391&lt;&gt;"",'EDC - PARAMETRAGE'!$A$3,"")</f>
        <v/>
      </c>
      <c r="C391" s="72" t="str">
        <f>IF(A391&lt;&gt;"",VLOOKUP(A391,'EDC - PRODUCTION'!$A$7:$E$49,5,FALSE),"")</f>
        <v/>
      </c>
      <c r="D391" s="72" t="str">
        <f>IF(A391&lt;&gt;"",VLOOKUP(A391,'EDC - PRODUCTION'!$A$7:$I$49,4,FALSE),"")</f>
        <v/>
      </c>
      <c r="E391" s="44"/>
      <c r="F391" s="45" t="str">
        <f t="shared" si="20"/>
        <v/>
      </c>
      <c r="G391" s="56" t="str">
        <f t="shared" si="21"/>
        <v/>
      </c>
      <c r="H391" s="73"/>
      <c r="I391" s="73"/>
      <c r="J391" s="112" t="str">
        <f t="shared" si="22"/>
        <v/>
      </c>
      <c r="K391" s="68"/>
    </row>
    <row r="392" spans="1:11" x14ac:dyDescent="0.2">
      <c r="A392" s="108"/>
      <c r="B392" s="72" t="str">
        <f>IF(A392&lt;&gt;"",'EDC - PARAMETRAGE'!$A$3,"")</f>
        <v/>
      </c>
      <c r="C392" s="72" t="str">
        <f>IF(A392&lt;&gt;"",VLOOKUP(A392,'EDC - PRODUCTION'!$A$7:$E$49,5,FALSE),"")</f>
        <v/>
      </c>
      <c r="D392" s="72" t="str">
        <f>IF(A392&lt;&gt;"",VLOOKUP(A392,'EDC - PRODUCTION'!$A$7:$I$49,4,FALSE),"")</f>
        <v/>
      </c>
      <c r="E392" s="44"/>
      <c r="F392" s="45" t="str">
        <f t="shared" si="20"/>
        <v/>
      </c>
      <c r="G392" s="56" t="str">
        <f t="shared" si="21"/>
        <v/>
      </c>
      <c r="H392" s="73"/>
      <c r="I392" s="73"/>
      <c r="J392" s="112" t="str">
        <f t="shared" si="22"/>
        <v/>
      </c>
      <c r="K392" s="68"/>
    </row>
    <row r="393" spans="1:11" x14ac:dyDescent="0.2">
      <c r="A393" s="108"/>
      <c r="B393" s="72" t="str">
        <f>IF(A393&lt;&gt;"",'EDC - PARAMETRAGE'!$A$3,"")</f>
        <v/>
      </c>
      <c r="C393" s="72" t="str">
        <f>IF(A393&lt;&gt;"",VLOOKUP(A393,'EDC - PRODUCTION'!$A$7:$E$49,5,FALSE),"")</f>
        <v/>
      </c>
      <c r="D393" s="72" t="str">
        <f>IF(A393&lt;&gt;"",VLOOKUP(A393,'EDC - PRODUCTION'!$A$7:$I$49,4,FALSE),"")</f>
        <v/>
      </c>
      <c r="E393" s="44"/>
      <c r="F393" s="45" t="str">
        <f t="shared" si="20"/>
        <v/>
      </c>
      <c r="G393" s="56" t="str">
        <f t="shared" si="21"/>
        <v/>
      </c>
      <c r="H393" s="73"/>
      <c r="I393" s="73"/>
      <c r="J393" s="112" t="str">
        <f t="shared" si="22"/>
        <v/>
      </c>
      <c r="K393" s="68"/>
    </row>
    <row r="394" spans="1:11" x14ac:dyDescent="0.2">
      <c r="A394" s="108"/>
      <c r="B394" s="72" t="str">
        <f>IF(A394&lt;&gt;"",'EDC - PARAMETRAGE'!$A$3,"")</f>
        <v/>
      </c>
      <c r="C394" s="72" t="str">
        <f>IF(A394&lt;&gt;"",VLOOKUP(A394,'EDC - PRODUCTION'!$A$7:$E$49,5,FALSE),"")</f>
        <v/>
      </c>
      <c r="D394" s="72" t="str">
        <f>IF(A394&lt;&gt;"",VLOOKUP(A394,'EDC - PRODUCTION'!$A$7:$I$49,4,FALSE),"")</f>
        <v/>
      </c>
      <c r="E394" s="44"/>
      <c r="F394" s="45" t="str">
        <f t="shared" si="20"/>
        <v/>
      </c>
      <c r="G394" s="56" t="str">
        <f t="shared" si="21"/>
        <v/>
      </c>
      <c r="H394" s="73"/>
      <c r="I394" s="73"/>
      <c r="J394" s="112" t="str">
        <f t="shared" si="22"/>
        <v/>
      </c>
      <c r="K394" s="68"/>
    </row>
    <row r="395" spans="1:11" x14ac:dyDescent="0.2">
      <c r="A395" s="108"/>
      <c r="B395" s="72" t="str">
        <f>IF(A395&lt;&gt;"",'EDC - PARAMETRAGE'!$A$3,"")</f>
        <v/>
      </c>
      <c r="C395" s="72" t="str">
        <f>IF(A395&lt;&gt;"",VLOOKUP(A395,'EDC - PRODUCTION'!$A$7:$E$49,5,FALSE),"")</f>
        <v/>
      </c>
      <c r="D395" s="72" t="str">
        <f>IF(A395&lt;&gt;"",VLOOKUP(A395,'EDC - PRODUCTION'!$A$7:$I$49,4,FALSE),"")</f>
        <v/>
      </c>
      <c r="E395" s="44"/>
      <c r="F395" s="45" t="str">
        <f t="shared" si="20"/>
        <v/>
      </c>
      <c r="G395" s="56" t="str">
        <f t="shared" si="21"/>
        <v/>
      </c>
      <c r="H395" s="73"/>
      <c r="I395" s="73"/>
      <c r="J395" s="112" t="str">
        <f t="shared" si="22"/>
        <v/>
      </c>
      <c r="K395" s="68"/>
    </row>
    <row r="396" spans="1:11" x14ac:dyDescent="0.2">
      <c r="A396" s="108"/>
      <c r="B396" s="72" t="str">
        <f>IF(A396&lt;&gt;"",'EDC - PARAMETRAGE'!$A$3,"")</f>
        <v/>
      </c>
      <c r="C396" s="72" t="str">
        <f>IF(A396&lt;&gt;"",VLOOKUP(A396,'EDC - PRODUCTION'!$A$7:$E$49,5,FALSE),"")</f>
        <v/>
      </c>
      <c r="D396" s="72" t="str">
        <f>IF(A396&lt;&gt;"",VLOOKUP(A396,'EDC - PRODUCTION'!$A$7:$I$49,4,FALSE),"")</f>
        <v/>
      </c>
      <c r="E396" s="44"/>
      <c r="F396" s="45" t="str">
        <f t="shared" si="20"/>
        <v/>
      </c>
      <c r="G396" s="56" t="str">
        <f t="shared" si="21"/>
        <v/>
      </c>
      <c r="H396" s="73"/>
      <c r="I396" s="73"/>
      <c r="J396" s="112" t="str">
        <f t="shared" si="22"/>
        <v/>
      </c>
      <c r="K396" s="68"/>
    </row>
    <row r="397" spans="1:11" x14ac:dyDescent="0.2">
      <c r="A397" s="108"/>
      <c r="B397" s="72" t="str">
        <f>IF(A397&lt;&gt;"",'EDC - PARAMETRAGE'!$A$3,"")</f>
        <v/>
      </c>
      <c r="C397" s="72" t="str">
        <f>IF(A397&lt;&gt;"",VLOOKUP(A397,'EDC - PRODUCTION'!$A$7:$E$49,5,FALSE),"")</f>
        <v/>
      </c>
      <c r="D397" s="72" t="str">
        <f>IF(A397&lt;&gt;"",VLOOKUP(A397,'EDC - PRODUCTION'!$A$7:$I$49,4,FALSE),"")</f>
        <v/>
      </c>
      <c r="E397" s="44"/>
      <c r="F397" s="45" t="str">
        <f t="shared" si="20"/>
        <v/>
      </c>
      <c r="G397" s="56" t="str">
        <f t="shared" si="21"/>
        <v/>
      </c>
      <c r="H397" s="73"/>
      <c r="I397" s="73"/>
      <c r="J397" s="112" t="str">
        <f t="shared" si="22"/>
        <v/>
      </c>
      <c r="K397" s="68"/>
    </row>
    <row r="398" spans="1:11" x14ac:dyDescent="0.2">
      <c r="A398" s="108"/>
      <c r="B398" s="72" t="str">
        <f>IF(A398&lt;&gt;"",'EDC - PARAMETRAGE'!$A$3,"")</f>
        <v/>
      </c>
      <c r="C398" s="72" t="str">
        <f>IF(A398&lt;&gt;"",VLOOKUP(A398,'EDC - PRODUCTION'!$A$7:$E$49,5,FALSE),"")</f>
        <v/>
      </c>
      <c r="D398" s="72" t="str">
        <f>IF(A398&lt;&gt;"",VLOOKUP(A398,'EDC - PRODUCTION'!$A$7:$I$49,4,FALSE),"")</f>
        <v/>
      </c>
      <c r="E398" s="44"/>
      <c r="F398" s="45" t="str">
        <f t="shared" si="20"/>
        <v/>
      </c>
      <c r="G398" s="56" t="str">
        <f t="shared" si="21"/>
        <v/>
      </c>
      <c r="H398" s="73"/>
      <c r="I398" s="73"/>
      <c r="J398" s="112" t="str">
        <f t="shared" si="22"/>
        <v/>
      </c>
      <c r="K398" s="68"/>
    </row>
    <row r="399" spans="1:11" x14ac:dyDescent="0.2">
      <c r="A399" s="108"/>
      <c r="B399" s="72" t="str">
        <f>IF(A399&lt;&gt;"",'EDC - PARAMETRAGE'!$A$3,"")</f>
        <v/>
      </c>
      <c r="C399" s="72" t="str">
        <f>IF(A399&lt;&gt;"",VLOOKUP(A399,'EDC - PRODUCTION'!$A$7:$E$49,5,FALSE),"")</f>
        <v/>
      </c>
      <c r="D399" s="72" t="str">
        <f>IF(A399&lt;&gt;"",VLOOKUP(A399,'EDC - PRODUCTION'!$A$7:$I$49,4,FALSE),"")</f>
        <v/>
      </c>
      <c r="E399" s="44"/>
      <c r="F399" s="45" t="str">
        <f t="shared" si="20"/>
        <v/>
      </c>
      <c r="G399" s="56" t="str">
        <f t="shared" si="21"/>
        <v/>
      </c>
      <c r="H399" s="73"/>
      <c r="I399" s="73"/>
      <c r="J399" s="112" t="str">
        <f t="shared" si="22"/>
        <v/>
      </c>
      <c r="K399" s="68"/>
    </row>
    <row r="400" spans="1:11" x14ac:dyDescent="0.2">
      <c r="A400" s="108"/>
      <c r="B400" s="72" t="str">
        <f>IF(A400&lt;&gt;"",'EDC - PARAMETRAGE'!$A$3,"")</f>
        <v/>
      </c>
      <c r="C400" s="72" t="str">
        <f>IF(A400&lt;&gt;"",VLOOKUP(A400,'EDC - PRODUCTION'!$A$7:$E$49,5,FALSE),"")</f>
        <v/>
      </c>
      <c r="D400" s="72" t="str">
        <f>IF(A400&lt;&gt;"",VLOOKUP(A400,'EDC - PRODUCTION'!$A$7:$I$49,4,FALSE),"")</f>
        <v/>
      </c>
      <c r="E400" s="44"/>
      <c r="F400" s="45" t="str">
        <f t="shared" si="20"/>
        <v/>
      </c>
      <c r="G400" s="56" t="str">
        <f t="shared" si="21"/>
        <v/>
      </c>
      <c r="H400" s="73"/>
      <c r="I400" s="73"/>
      <c r="J400" s="112" t="str">
        <f t="shared" si="22"/>
        <v/>
      </c>
      <c r="K400" s="68"/>
    </row>
    <row r="401" spans="1:11" x14ac:dyDescent="0.2">
      <c r="A401" s="108"/>
      <c r="B401" s="72" t="str">
        <f>IF(A401&lt;&gt;"",'EDC - PARAMETRAGE'!$A$3,"")</f>
        <v/>
      </c>
      <c r="C401" s="72" t="str">
        <f>IF(A401&lt;&gt;"",VLOOKUP(A401,'EDC - PRODUCTION'!$A$7:$E$49,5,FALSE),"")</f>
        <v/>
      </c>
      <c r="D401" s="72" t="str">
        <f>IF(A401&lt;&gt;"",VLOOKUP(A401,'EDC - PRODUCTION'!$A$7:$I$49,4,FALSE),"")</f>
        <v/>
      </c>
      <c r="E401" s="44"/>
      <c r="F401" s="45" t="str">
        <f t="shared" si="20"/>
        <v/>
      </c>
      <c r="G401" s="56" t="str">
        <f t="shared" si="21"/>
        <v/>
      </c>
      <c r="H401" s="73"/>
      <c r="I401" s="73"/>
      <c r="J401" s="112" t="str">
        <f t="shared" si="22"/>
        <v/>
      </c>
      <c r="K401" s="68"/>
    </row>
    <row r="402" spans="1:11" x14ac:dyDescent="0.2">
      <c r="A402" s="108"/>
      <c r="B402" s="72" t="str">
        <f>IF(A402&lt;&gt;"",'EDC - PARAMETRAGE'!$A$3,"")</f>
        <v/>
      </c>
      <c r="C402" s="72" t="str">
        <f>IF(A402&lt;&gt;"",VLOOKUP(A402,'EDC - PRODUCTION'!$A$7:$E$49,5,FALSE),"")</f>
        <v/>
      </c>
      <c r="D402" s="72" t="str">
        <f>IF(A402&lt;&gt;"",VLOOKUP(A402,'EDC - PRODUCTION'!$A$7:$I$49,4,FALSE),"")</f>
        <v/>
      </c>
      <c r="E402" s="44"/>
      <c r="F402" s="45" t="str">
        <f t="shared" si="20"/>
        <v/>
      </c>
      <c r="G402" s="56" t="str">
        <f t="shared" si="21"/>
        <v/>
      </c>
      <c r="H402" s="73"/>
      <c r="I402" s="73"/>
      <c r="J402" s="112" t="str">
        <f t="shared" si="22"/>
        <v/>
      </c>
      <c r="K402" s="68"/>
    </row>
    <row r="403" spans="1:11" x14ac:dyDescent="0.2">
      <c r="A403" s="108"/>
      <c r="B403" s="72" t="str">
        <f>IF(A403&lt;&gt;"",'EDC - PARAMETRAGE'!$A$3,"")</f>
        <v/>
      </c>
      <c r="C403" s="72" t="str">
        <f>IF(A403&lt;&gt;"",VLOOKUP(A403,'EDC - PRODUCTION'!$A$7:$E$49,5,FALSE),"")</f>
        <v/>
      </c>
      <c r="D403" s="72" t="str">
        <f>IF(A403&lt;&gt;"",VLOOKUP(A403,'EDC - PRODUCTION'!$A$7:$I$49,4,FALSE),"")</f>
        <v/>
      </c>
      <c r="E403" s="44"/>
      <c r="F403" s="45" t="str">
        <f t="shared" si="20"/>
        <v/>
      </c>
      <c r="G403" s="56" t="str">
        <f t="shared" si="21"/>
        <v/>
      </c>
      <c r="H403" s="73"/>
      <c r="I403" s="73"/>
      <c r="J403" s="112" t="str">
        <f t="shared" si="22"/>
        <v/>
      </c>
      <c r="K403" s="68"/>
    </row>
    <row r="404" spans="1:11" x14ac:dyDescent="0.2">
      <c r="A404" s="108"/>
      <c r="B404" s="72" t="str">
        <f>IF(A404&lt;&gt;"",'EDC - PARAMETRAGE'!$A$3,"")</f>
        <v/>
      </c>
      <c r="C404" s="72" t="str">
        <f>IF(A404&lt;&gt;"",VLOOKUP(A404,'EDC - PRODUCTION'!$A$7:$E$49,5,FALSE),"")</f>
        <v/>
      </c>
      <c r="D404" s="72" t="str">
        <f>IF(A404&lt;&gt;"",VLOOKUP(A404,'EDC - PRODUCTION'!$A$7:$I$49,4,FALSE),"")</f>
        <v/>
      </c>
      <c r="E404" s="44"/>
      <c r="F404" s="45" t="str">
        <f t="shared" si="20"/>
        <v/>
      </c>
      <c r="G404" s="56" t="str">
        <f t="shared" si="21"/>
        <v/>
      </c>
      <c r="H404" s="73"/>
      <c r="I404" s="73"/>
      <c r="J404" s="112" t="str">
        <f t="shared" si="22"/>
        <v/>
      </c>
      <c r="K404" s="68"/>
    </row>
    <row r="405" spans="1:11" x14ac:dyDescent="0.2">
      <c r="A405" s="108"/>
      <c r="B405" s="72" t="str">
        <f>IF(A405&lt;&gt;"",'EDC - PARAMETRAGE'!$A$3,"")</f>
        <v/>
      </c>
      <c r="C405" s="72" t="str">
        <f>IF(A405&lt;&gt;"",VLOOKUP(A405,'EDC - PRODUCTION'!$A$7:$E$49,5,FALSE),"")</f>
        <v/>
      </c>
      <c r="D405" s="72" t="str">
        <f>IF(A405&lt;&gt;"",VLOOKUP(A405,'EDC - PRODUCTION'!$A$7:$I$49,4,FALSE),"")</f>
        <v/>
      </c>
      <c r="E405" s="44"/>
      <c r="F405" s="45" t="str">
        <f t="shared" si="20"/>
        <v/>
      </c>
      <c r="G405" s="56" t="str">
        <f t="shared" si="21"/>
        <v/>
      </c>
      <c r="H405" s="73"/>
      <c r="I405" s="73"/>
      <c r="J405" s="112" t="str">
        <f t="shared" si="22"/>
        <v/>
      </c>
      <c r="K405" s="68"/>
    </row>
    <row r="406" spans="1:11" x14ac:dyDescent="0.2">
      <c r="A406" s="108"/>
      <c r="B406" s="72" t="str">
        <f>IF(A406&lt;&gt;"",'EDC - PARAMETRAGE'!$A$3,"")</f>
        <v/>
      </c>
      <c r="C406" s="72" t="str">
        <f>IF(A406&lt;&gt;"",VLOOKUP(A406,'EDC - PRODUCTION'!$A$7:$E$49,5,FALSE),"")</f>
        <v/>
      </c>
      <c r="D406" s="72" t="str">
        <f>IF(A406&lt;&gt;"",VLOOKUP(A406,'EDC - PRODUCTION'!$A$7:$I$49,4,FALSE),"")</f>
        <v/>
      </c>
      <c r="E406" s="44"/>
      <c r="F406" s="45" t="str">
        <f t="shared" si="20"/>
        <v/>
      </c>
      <c r="G406" s="56" t="str">
        <f t="shared" si="21"/>
        <v/>
      </c>
      <c r="H406" s="73"/>
      <c r="I406" s="73"/>
      <c r="J406" s="112" t="str">
        <f t="shared" si="22"/>
        <v/>
      </c>
      <c r="K406" s="68"/>
    </row>
    <row r="407" spans="1:11" x14ac:dyDescent="0.2">
      <c r="A407" s="108"/>
      <c r="B407" s="72" t="str">
        <f>IF(A407&lt;&gt;"",'EDC - PARAMETRAGE'!$A$3,"")</f>
        <v/>
      </c>
      <c r="C407" s="72" t="str">
        <f>IF(A407&lt;&gt;"",VLOOKUP(A407,'EDC - PRODUCTION'!$A$7:$E$49,5,FALSE),"")</f>
        <v/>
      </c>
      <c r="D407" s="72" t="str">
        <f>IF(A407&lt;&gt;"",VLOOKUP(A407,'EDC - PRODUCTION'!$A$7:$I$49,4,FALSE),"")</f>
        <v/>
      </c>
      <c r="E407" s="44"/>
      <c r="F407" s="45" t="str">
        <f t="shared" si="20"/>
        <v/>
      </c>
      <c r="G407" s="56" t="str">
        <f t="shared" si="21"/>
        <v/>
      </c>
      <c r="H407" s="73"/>
      <c r="I407" s="73"/>
      <c r="J407" s="112" t="str">
        <f t="shared" si="22"/>
        <v/>
      </c>
      <c r="K407" s="68"/>
    </row>
    <row r="408" spans="1:11" x14ac:dyDescent="0.2">
      <c r="A408" s="108"/>
      <c r="B408" s="72" t="str">
        <f>IF(A408&lt;&gt;"",'EDC - PARAMETRAGE'!$A$3,"")</f>
        <v/>
      </c>
      <c r="C408" s="72" t="str">
        <f>IF(A408&lt;&gt;"",VLOOKUP(A408,'EDC - PRODUCTION'!$A$7:$E$49,5,FALSE),"")</f>
        <v/>
      </c>
      <c r="D408" s="72" t="str">
        <f>IF(A408&lt;&gt;"",VLOOKUP(A408,'EDC - PRODUCTION'!$A$7:$I$49,4,FALSE),"")</f>
        <v/>
      </c>
      <c r="E408" s="44"/>
      <c r="F408" s="45" t="str">
        <f t="shared" si="20"/>
        <v/>
      </c>
      <c r="G408" s="56" t="str">
        <f t="shared" si="21"/>
        <v/>
      </c>
      <c r="H408" s="73"/>
      <c r="I408" s="73"/>
      <c r="J408" s="112" t="str">
        <f t="shared" si="22"/>
        <v/>
      </c>
      <c r="K408" s="68"/>
    </row>
    <row r="409" spans="1:11" x14ac:dyDescent="0.2">
      <c r="A409" s="108"/>
      <c r="B409" s="72" t="str">
        <f>IF(A409&lt;&gt;"",'EDC - PARAMETRAGE'!$A$3,"")</f>
        <v/>
      </c>
      <c r="C409" s="72" t="str">
        <f>IF(A409&lt;&gt;"",VLOOKUP(A409,'EDC - PRODUCTION'!$A$7:$E$49,5,FALSE),"")</f>
        <v/>
      </c>
      <c r="D409" s="72" t="str">
        <f>IF(A409&lt;&gt;"",VLOOKUP(A409,'EDC - PRODUCTION'!$A$7:$I$49,4,FALSE),"")</f>
        <v/>
      </c>
      <c r="E409" s="44"/>
      <c r="F409" s="45" t="str">
        <f t="shared" si="20"/>
        <v/>
      </c>
      <c r="G409" s="56" t="str">
        <f t="shared" si="21"/>
        <v/>
      </c>
      <c r="H409" s="73"/>
      <c r="I409" s="73"/>
      <c r="J409" s="112" t="str">
        <f t="shared" si="22"/>
        <v/>
      </c>
      <c r="K409" s="68"/>
    </row>
    <row r="410" spans="1:11" x14ac:dyDescent="0.2">
      <c r="A410" s="108"/>
      <c r="B410" s="72" t="str">
        <f>IF(A410&lt;&gt;"",'EDC - PARAMETRAGE'!$A$3,"")</f>
        <v/>
      </c>
      <c r="C410" s="72" t="str">
        <f>IF(A410&lt;&gt;"",VLOOKUP(A410,'EDC - PRODUCTION'!$A$7:$E$49,5,FALSE),"")</f>
        <v/>
      </c>
      <c r="D410" s="72" t="str">
        <f>IF(A410&lt;&gt;"",VLOOKUP(A410,'EDC - PRODUCTION'!$A$7:$I$49,4,FALSE),"")</f>
        <v/>
      </c>
      <c r="E410" s="44"/>
      <c r="F410" s="45" t="str">
        <f t="shared" si="20"/>
        <v/>
      </c>
      <c r="G410" s="56" t="str">
        <f t="shared" si="21"/>
        <v/>
      </c>
      <c r="H410" s="73"/>
      <c r="I410" s="73"/>
      <c r="J410" s="112" t="str">
        <f t="shared" si="22"/>
        <v/>
      </c>
      <c r="K410" s="68"/>
    </row>
    <row r="411" spans="1:11" x14ac:dyDescent="0.2">
      <c r="A411" s="108"/>
      <c r="B411" s="72" t="str">
        <f>IF(A411&lt;&gt;"",'EDC - PARAMETRAGE'!$A$3,"")</f>
        <v/>
      </c>
      <c r="C411" s="72" t="str">
        <f>IF(A411&lt;&gt;"",VLOOKUP(A411,'EDC - PRODUCTION'!$A$7:$E$49,5,FALSE),"")</f>
        <v/>
      </c>
      <c r="D411" s="72" t="str">
        <f>IF(A411&lt;&gt;"",VLOOKUP(A411,'EDC - PRODUCTION'!$A$7:$I$49,4,FALSE),"")</f>
        <v/>
      </c>
      <c r="E411" s="44"/>
      <c r="F411" s="45" t="str">
        <f t="shared" si="20"/>
        <v/>
      </c>
      <c r="G411" s="56" t="str">
        <f t="shared" si="21"/>
        <v/>
      </c>
      <c r="H411" s="73"/>
      <c r="I411" s="73"/>
      <c r="J411" s="112" t="str">
        <f t="shared" si="22"/>
        <v/>
      </c>
      <c r="K411" s="68"/>
    </row>
    <row r="412" spans="1:11" x14ac:dyDescent="0.2">
      <c r="A412" s="108"/>
      <c r="B412" s="72" t="str">
        <f>IF(A412&lt;&gt;"",'EDC - PARAMETRAGE'!$A$3,"")</f>
        <v/>
      </c>
      <c r="C412" s="72" t="str">
        <f>IF(A412&lt;&gt;"",VLOOKUP(A412,'EDC - PRODUCTION'!$A$7:$E$49,5,FALSE),"")</f>
        <v/>
      </c>
      <c r="D412" s="72" t="str">
        <f>IF(A412&lt;&gt;"",VLOOKUP(A412,'EDC - PRODUCTION'!$A$7:$I$49,4,FALSE),"")</f>
        <v/>
      </c>
      <c r="E412" s="44"/>
      <c r="F412" s="45" t="str">
        <f t="shared" si="20"/>
        <v/>
      </c>
      <c r="G412" s="56" t="str">
        <f t="shared" si="21"/>
        <v/>
      </c>
      <c r="H412" s="73"/>
      <c r="I412" s="73"/>
      <c r="J412" s="112" t="str">
        <f t="shared" si="22"/>
        <v/>
      </c>
      <c r="K412" s="68"/>
    </row>
    <row r="413" spans="1:11" x14ac:dyDescent="0.2">
      <c r="A413" s="108"/>
      <c r="B413" s="72" t="str">
        <f>IF(A413&lt;&gt;"",'EDC - PARAMETRAGE'!$A$3,"")</f>
        <v/>
      </c>
      <c r="C413" s="72" t="str">
        <f>IF(A413&lt;&gt;"",VLOOKUP(A413,'EDC - PRODUCTION'!$A$7:$E$49,5,FALSE),"")</f>
        <v/>
      </c>
      <c r="D413" s="72" t="str">
        <f>IF(A413&lt;&gt;"",VLOOKUP(A413,'EDC - PRODUCTION'!$A$7:$I$49,4,FALSE),"")</f>
        <v/>
      </c>
      <c r="E413" s="44"/>
      <c r="F413" s="45" t="str">
        <f t="shared" si="20"/>
        <v/>
      </c>
      <c r="G413" s="56" t="str">
        <f t="shared" si="21"/>
        <v/>
      </c>
      <c r="H413" s="73"/>
      <c r="I413" s="73"/>
      <c r="J413" s="112" t="str">
        <f t="shared" si="22"/>
        <v/>
      </c>
      <c r="K413" s="68"/>
    </row>
    <row r="414" spans="1:11" x14ac:dyDescent="0.2">
      <c r="A414" s="108"/>
      <c r="B414" s="72" t="str">
        <f>IF(A414&lt;&gt;"",'EDC - PARAMETRAGE'!$A$3,"")</f>
        <v/>
      </c>
      <c r="C414" s="72" t="str">
        <f>IF(A414&lt;&gt;"",VLOOKUP(A414,'EDC - PRODUCTION'!$A$7:$E$49,5,FALSE),"")</f>
        <v/>
      </c>
      <c r="D414" s="72" t="str">
        <f>IF(A414&lt;&gt;"",VLOOKUP(A414,'EDC - PRODUCTION'!$A$7:$I$49,4,FALSE),"")</f>
        <v/>
      </c>
      <c r="E414" s="44"/>
      <c r="F414" s="45" t="str">
        <f t="shared" si="20"/>
        <v/>
      </c>
      <c r="G414" s="56" t="str">
        <f t="shared" si="21"/>
        <v/>
      </c>
      <c r="H414" s="73"/>
      <c r="I414" s="73"/>
      <c r="J414" s="112" t="str">
        <f t="shared" si="22"/>
        <v/>
      </c>
      <c r="K414" s="68"/>
    </row>
    <row r="415" spans="1:11" x14ac:dyDescent="0.2">
      <c r="A415" s="108"/>
      <c r="B415" s="72" t="str">
        <f>IF(A415&lt;&gt;"",'EDC - PARAMETRAGE'!$A$3,"")</f>
        <v/>
      </c>
      <c r="C415" s="72" t="str">
        <f>IF(A415&lt;&gt;"",VLOOKUP(A415,'EDC - PRODUCTION'!$A$7:$E$49,5,FALSE),"")</f>
        <v/>
      </c>
      <c r="D415" s="72" t="str">
        <f>IF(A415&lt;&gt;"",VLOOKUP(A415,'EDC - PRODUCTION'!$A$7:$I$49,4,FALSE),"")</f>
        <v/>
      </c>
      <c r="E415" s="44"/>
      <c r="F415" s="45" t="str">
        <f t="shared" si="20"/>
        <v/>
      </c>
      <c r="G415" s="56" t="str">
        <f t="shared" si="21"/>
        <v/>
      </c>
      <c r="H415" s="73"/>
      <c r="I415" s="73"/>
      <c r="J415" s="112" t="str">
        <f t="shared" si="22"/>
        <v/>
      </c>
      <c r="K415" s="68"/>
    </row>
    <row r="416" spans="1:11" x14ac:dyDescent="0.2">
      <c r="A416" s="108"/>
      <c r="B416" s="72" t="str">
        <f>IF(A416&lt;&gt;"",'EDC - PARAMETRAGE'!$A$3,"")</f>
        <v/>
      </c>
      <c r="C416" s="72" t="str">
        <f>IF(A416&lt;&gt;"",VLOOKUP(A416,'EDC - PRODUCTION'!$A$7:$E$49,5,FALSE),"")</f>
        <v/>
      </c>
      <c r="D416" s="72" t="str">
        <f>IF(A416&lt;&gt;"",VLOOKUP(A416,'EDC - PRODUCTION'!$A$7:$I$49,4,FALSE),"")</f>
        <v/>
      </c>
      <c r="E416" s="44"/>
      <c r="F416" s="45" t="str">
        <f t="shared" si="20"/>
        <v/>
      </c>
      <c r="G416" s="56" t="str">
        <f t="shared" si="21"/>
        <v/>
      </c>
      <c r="H416" s="73"/>
      <c r="I416" s="73"/>
      <c r="J416" s="112" t="str">
        <f t="shared" si="22"/>
        <v/>
      </c>
      <c r="K416" s="68"/>
    </row>
    <row r="417" spans="1:11" x14ac:dyDescent="0.2">
      <c r="A417" s="108"/>
      <c r="B417" s="72" t="str">
        <f>IF(A417&lt;&gt;"",'EDC - PARAMETRAGE'!$A$3,"")</f>
        <v/>
      </c>
      <c r="C417" s="72" t="str">
        <f>IF(A417&lt;&gt;"",VLOOKUP(A417,'EDC - PRODUCTION'!$A$7:$E$49,5,FALSE),"")</f>
        <v/>
      </c>
      <c r="D417" s="72" t="str">
        <f>IF(A417&lt;&gt;"",VLOOKUP(A417,'EDC - PRODUCTION'!$A$7:$I$49,4,FALSE),"")</f>
        <v/>
      </c>
      <c r="E417" s="44"/>
      <c r="F417" s="45" t="str">
        <f t="shared" si="20"/>
        <v/>
      </c>
      <c r="G417" s="56" t="str">
        <f t="shared" si="21"/>
        <v/>
      </c>
      <c r="H417" s="73"/>
      <c r="I417" s="73"/>
      <c r="J417" s="112" t="str">
        <f t="shared" si="22"/>
        <v/>
      </c>
      <c r="K417" s="68"/>
    </row>
    <row r="418" spans="1:11" x14ac:dyDescent="0.2">
      <c r="A418" s="108"/>
      <c r="B418" s="72" t="str">
        <f>IF(A418&lt;&gt;"",'EDC - PARAMETRAGE'!$A$3,"")</f>
        <v/>
      </c>
      <c r="C418" s="72" t="str">
        <f>IF(A418&lt;&gt;"",VLOOKUP(A418,'EDC - PRODUCTION'!$A$7:$E$49,5,FALSE),"")</f>
        <v/>
      </c>
      <c r="D418" s="72" t="str">
        <f>IF(A418&lt;&gt;"",VLOOKUP(A418,'EDC - PRODUCTION'!$A$7:$I$49,4,FALSE),"")</f>
        <v/>
      </c>
      <c r="E418" s="44"/>
      <c r="F418" s="45" t="str">
        <f t="shared" si="20"/>
        <v/>
      </c>
      <c r="G418" s="56" t="str">
        <f t="shared" si="21"/>
        <v/>
      </c>
      <c r="H418" s="73"/>
      <c r="I418" s="73"/>
      <c r="J418" s="112" t="str">
        <f t="shared" si="22"/>
        <v/>
      </c>
      <c r="K418" s="68"/>
    </row>
    <row r="419" spans="1:11" x14ac:dyDescent="0.2">
      <c r="A419" s="108"/>
      <c r="B419" s="72" t="str">
        <f>IF(A419&lt;&gt;"",'EDC - PARAMETRAGE'!$A$3,"")</f>
        <v/>
      </c>
      <c r="C419" s="72" t="str">
        <f>IF(A419&lt;&gt;"",VLOOKUP(A419,'EDC - PRODUCTION'!$A$7:$E$49,5,FALSE),"")</f>
        <v/>
      </c>
      <c r="D419" s="72" t="str">
        <f>IF(A419&lt;&gt;"",VLOOKUP(A419,'EDC - PRODUCTION'!$A$7:$I$49,4,FALSE),"")</f>
        <v/>
      </c>
      <c r="E419" s="44"/>
      <c r="F419" s="45" t="str">
        <f t="shared" si="20"/>
        <v/>
      </c>
      <c r="G419" s="56" t="str">
        <f t="shared" si="21"/>
        <v/>
      </c>
      <c r="H419" s="73"/>
      <c r="I419" s="73"/>
      <c r="J419" s="112" t="str">
        <f t="shared" si="22"/>
        <v/>
      </c>
      <c r="K419" s="68"/>
    </row>
    <row r="420" spans="1:11" x14ac:dyDescent="0.2">
      <c r="A420" s="108"/>
      <c r="B420" s="72" t="str">
        <f>IF(A420&lt;&gt;"",'EDC - PARAMETRAGE'!$A$3,"")</f>
        <v/>
      </c>
      <c r="C420" s="72" t="str">
        <f>IF(A420&lt;&gt;"",VLOOKUP(A420,'EDC - PRODUCTION'!$A$7:$E$49,5,FALSE),"")</f>
        <v/>
      </c>
      <c r="D420" s="72" t="str">
        <f>IF(A420&lt;&gt;"",VLOOKUP(A420,'EDC - PRODUCTION'!$A$7:$I$49,4,FALSE),"")</f>
        <v/>
      </c>
      <c r="E420" s="44"/>
      <c r="F420" s="45" t="str">
        <f t="shared" si="20"/>
        <v/>
      </c>
      <c r="G420" s="56" t="str">
        <f t="shared" si="21"/>
        <v/>
      </c>
      <c r="H420" s="73"/>
      <c r="I420" s="73"/>
      <c r="J420" s="112" t="str">
        <f t="shared" si="22"/>
        <v/>
      </c>
      <c r="K420" s="68"/>
    </row>
    <row r="421" spans="1:11" x14ac:dyDescent="0.2">
      <c r="A421" s="108"/>
      <c r="B421" s="72" t="str">
        <f>IF(A421&lt;&gt;"",'EDC - PARAMETRAGE'!$A$3,"")</f>
        <v/>
      </c>
      <c r="C421" s="72" t="str">
        <f>IF(A421&lt;&gt;"",VLOOKUP(A421,'EDC - PRODUCTION'!$A$7:$E$49,5,FALSE),"")</f>
        <v/>
      </c>
      <c r="D421" s="72" t="str">
        <f>IF(A421&lt;&gt;"",VLOOKUP(A421,'EDC - PRODUCTION'!$A$7:$I$49,4,FALSE),"")</f>
        <v/>
      </c>
      <c r="E421" s="44"/>
      <c r="F421" s="45" t="str">
        <f t="shared" si="20"/>
        <v/>
      </c>
      <c r="G421" s="56" t="str">
        <f t="shared" si="21"/>
        <v/>
      </c>
      <c r="H421" s="73"/>
      <c r="I421" s="73"/>
      <c r="J421" s="112" t="str">
        <f t="shared" si="22"/>
        <v/>
      </c>
      <c r="K421" s="68"/>
    </row>
    <row r="422" spans="1:11" x14ac:dyDescent="0.2">
      <c r="A422" s="108"/>
      <c r="B422" s="72" t="str">
        <f>IF(A422&lt;&gt;"",'EDC - PARAMETRAGE'!$A$3,"")</f>
        <v/>
      </c>
      <c r="C422" s="72" t="str">
        <f>IF(A422&lt;&gt;"",VLOOKUP(A422,'EDC - PRODUCTION'!$A$7:$E$49,5,FALSE),"")</f>
        <v/>
      </c>
      <c r="D422" s="72" t="str">
        <f>IF(A422&lt;&gt;"",VLOOKUP(A422,'EDC - PRODUCTION'!$A$7:$I$49,4,FALSE),"")</f>
        <v/>
      </c>
      <c r="E422" s="44"/>
      <c r="F422" s="45" t="str">
        <f t="shared" si="20"/>
        <v/>
      </c>
      <c r="G422" s="56" t="str">
        <f t="shared" si="21"/>
        <v/>
      </c>
      <c r="H422" s="73"/>
      <c r="I422" s="73"/>
      <c r="J422" s="112" t="str">
        <f t="shared" si="22"/>
        <v/>
      </c>
      <c r="K422" s="68"/>
    </row>
    <row r="423" spans="1:11" x14ac:dyDescent="0.2">
      <c r="A423" s="108"/>
      <c r="B423" s="72" t="str">
        <f>IF(A423&lt;&gt;"",'EDC - PARAMETRAGE'!$A$3,"")</f>
        <v/>
      </c>
      <c r="C423" s="72" t="str">
        <f>IF(A423&lt;&gt;"",VLOOKUP(A423,'EDC - PRODUCTION'!$A$7:$E$49,5,FALSE),"")</f>
        <v/>
      </c>
      <c r="D423" s="72" t="str">
        <f>IF(A423&lt;&gt;"",VLOOKUP(A423,'EDC - PRODUCTION'!$A$7:$I$49,4,FALSE),"")</f>
        <v/>
      </c>
      <c r="E423" s="44"/>
      <c r="F423" s="45" t="str">
        <f t="shared" si="20"/>
        <v/>
      </c>
      <c r="G423" s="56" t="str">
        <f t="shared" si="21"/>
        <v/>
      </c>
      <c r="H423" s="73"/>
      <c r="I423" s="73"/>
      <c r="J423" s="112" t="str">
        <f t="shared" si="22"/>
        <v/>
      </c>
      <c r="K423" s="68"/>
    </row>
    <row r="424" spans="1:11" x14ac:dyDescent="0.2">
      <c r="A424" s="108"/>
      <c r="B424" s="72" t="str">
        <f>IF(A424&lt;&gt;"",'EDC - PARAMETRAGE'!$A$3,"")</f>
        <v/>
      </c>
      <c r="C424" s="72" t="str">
        <f>IF(A424&lt;&gt;"",VLOOKUP(A424,'EDC - PRODUCTION'!$A$7:$E$49,5,FALSE),"")</f>
        <v/>
      </c>
      <c r="D424" s="72" t="str">
        <f>IF(A424&lt;&gt;"",VLOOKUP(A424,'EDC - PRODUCTION'!$A$7:$I$49,4,FALSE),"")</f>
        <v/>
      </c>
      <c r="E424" s="44"/>
      <c r="F424" s="45" t="str">
        <f t="shared" si="20"/>
        <v/>
      </c>
      <c r="G424" s="56" t="str">
        <f t="shared" si="21"/>
        <v/>
      </c>
      <c r="H424" s="73"/>
      <c r="I424" s="73"/>
      <c r="J424" s="112" t="str">
        <f t="shared" si="22"/>
        <v/>
      </c>
      <c r="K424" s="68"/>
    </row>
    <row r="425" spans="1:11" x14ac:dyDescent="0.2">
      <c r="A425" s="108"/>
      <c r="B425" s="72" t="str">
        <f>IF(A425&lt;&gt;"",'EDC - PARAMETRAGE'!$A$3,"")</f>
        <v/>
      </c>
      <c r="C425" s="72" t="str">
        <f>IF(A425&lt;&gt;"",VLOOKUP(A425,'EDC - PRODUCTION'!$A$7:$E$49,5,FALSE),"")</f>
        <v/>
      </c>
      <c r="D425" s="72" t="str">
        <f>IF(A425&lt;&gt;"",VLOOKUP(A425,'EDC - PRODUCTION'!$A$7:$I$49,4,FALSE),"")</f>
        <v/>
      </c>
      <c r="E425" s="44"/>
      <c r="F425" s="45" t="str">
        <f t="shared" si="20"/>
        <v/>
      </c>
      <c r="G425" s="56" t="str">
        <f t="shared" si="21"/>
        <v/>
      </c>
      <c r="H425" s="73"/>
      <c r="I425" s="73"/>
      <c r="J425" s="112" t="str">
        <f t="shared" si="22"/>
        <v/>
      </c>
      <c r="K425" s="68"/>
    </row>
    <row r="426" spans="1:11" x14ac:dyDescent="0.2">
      <c r="A426" s="108"/>
      <c r="B426" s="72" t="str">
        <f>IF(A426&lt;&gt;"",'EDC - PARAMETRAGE'!$A$3,"")</f>
        <v/>
      </c>
      <c r="C426" s="72" t="str">
        <f>IF(A426&lt;&gt;"",VLOOKUP(A426,'EDC - PRODUCTION'!$A$7:$E$49,5,FALSE),"")</f>
        <v/>
      </c>
      <c r="D426" s="72" t="str">
        <f>IF(A426&lt;&gt;"",VLOOKUP(A426,'EDC - PRODUCTION'!$A$7:$I$49,4,FALSE),"")</f>
        <v/>
      </c>
      <c r="E426" s="44"/>
      <c r="F426" s="45" t="str">
        <f t="shared" si="20"/>
        <v/>
      </c>
      <c r="G426" s="56" t="str">
        <f t="shared" si="21"/>
        <v/>
      </c>
      <c r="H426" s="73"/>
      <c r="I426" s="73"/>
      <c r="J426" s="112" t="str">
        <f t="shared" si="22"/>
        <v/>
      </c>
      <c r="K426" s="68"/>
    </row>
    <row r="427" spans="1:11" x14ac:dyDescent="0.2">
      <c r="A427" s="108"/>
      <c r="B427" s="72" t="str">
        <f>IF(A427&lt;&gt;"",'EDC - PARAMETRAGE'!$A$3,"")</f>
        <v/>
      </c>
      <c r="C427" s="72" t="str">
        <f>IF(A427&lt;&gt;"",VLOOKUP(A427,'EDC - PRODUCTION'!$A$7:$E$49,5,FALSE),"")</f>
        <v/>
      </c>
      <c r="D427" s="72" t="str">
        <f>IF(A427&lt;&gt;"",VLOOKUP(A427,'EDC - PRODUCTION'!$A$7:$I$49,4,FALSE),"")</f>
        <v/>
      </c>
      <c r="E427" s="44"/>
      <c r="F427" s="45" t="str">
        <f t="shared" si="20"/>
        <v/>
      </c>
      <c r="G427" s="56" t="str">
        <f t="shared" si="21"/>
        <v/>
      </c>
      <c r="H427" s="73"/>
      <c r="I427" s="73"/>
      <c r="J427" s="112" t="str">
        <f t="shared" si="22"/>
        <v/>
      </c>
      <c r="K427" s="68"/>
    </row>
    <row r="428" spans="1:11" x14ac:dyDescent="0.2">
      <c r="A428" s="108"/>
      <c r="B428" s="72" t="str">
        <f>IF(A428&lt;&gt;"",'EDC - PARAMETRAGE'!$A$3,"")</f>
        <v/>
      </c>
      <c r="C428" s="72" t="str">
        <f>IF(A428&lt;&gt;"",VLOOKUP(A428,'EDC - PRODUCTION'!$A$7:$E$49,5,FALSE),"")</f>
        <v/>
      </c>
      <c r="D428" s="72" t="str">
        <f>IF(A428&lt;&gt;"",VLOOKUP(A428,'EDC - PRODUCTION'!$A$7:$I$49,4,FALSE),"")</f>
        <v/>
      </c>
      <c r="E428" s="44"/>
      <c r="F428" s="45" t="str">
        <f t="shared" si="20"/>
        <v/>
      </c>
      <c r="G428" s="56" t="str">
        <f t="shared" si="21"/>
        <v/>
      </c>
      <c r="H428" s="73"/>
      <c r="I428" s="73"/>
      <c r="J428" s="112" t="str">
        <f t="shared" si="22"/>
        <v/>
      </c>
      <c r="K428" s="68"/>
    </row>
    <row r="429" spans="1:11" x14ac:dyDescent="0.2">
      <c r="A429" s="108"/>
      <c r="B429" s="72" t="str">
        <f>IF(A429&lt;&gt;"",'EDC - PARAMETRAGE'!$A$3,"")</f>
        <v/>
      </c>
      <c r="C429" s="72" t="str">
        <f>IF(A429&lt;&gt;"",VLOOKUP(A429,'EDC - PRODUCTION'!$A$7:$E$49,5,FALSE),"")</f>
        <v/>
      </c>
      <c r="D429" s="72" t="str">
        <f>IF(A429&lt;&gt;"",VLOOKUP(A429,'EDC - PRODUCTION'!$A$7:$I$49,4,FALSE),"")</f>
        <v/>
      </c>
      <c r="E429" s="44"/>
      <c r="F429" s="45" t="str">
        <f t="shared" si="20"/>
        <v/>
      </c>
      <c r="G429" s="56" t="str">
        <f t="shared" si="21"/>
        <v/>
      </c>
      <c r="H429" s="73"/>
      <c r="I429" s="73"/>
      <c r="J429" s="112" t="str">
        <f t="shared" si="22"/>
        <v/>
      </c>
      <c r="K429" s="68"/>
    </row>
    <row r="430" spans="1:11" x14ac:dyDescent="0.2">
      <c r="A430" s="108"/>
      <c r="B430" s="72" t="str">
        <f>IF(A430&lt;&gt;"",'EDC - PARAMETRAGE'!$A$3,"")</f>
        <v/>
      </c>
      <c r="C430" s="72" t="str">
        <f>IF(A430&lt;&gt;"",VLOOKUP(A430,'EDC - PRODUCTION'!$A$7:$E$49,5,FALSE),"")</f>
        <v/>
      </c>
      <c r="D430" s="72" t="str">
        <f>IF(A430&lt;&gt;"",VLOOKUP(A430,'EDC - PRODUCTION'!$A$7:$I$49,4,FALSE),"")</f>
        <v/>
      </c>
      <c r="E430" s="44"/>
      <c r="F430" s="45" t="str">
        <f t="shared" si="20"/>
        <v/>
      </c>
      <c r="G430" s="56" t="str">
        <f t="shared" si="21"/>
        <v/>
      </c>
      <c r="H430" s="73"/>
      <c r="I430" s="73"/>
      <c r="J430" s="112" t="str">
        <f t="shared" si="22"/>
        <v/>
      </c>
      <c r="K430" s="68"/>
    </row>
    <row r="431" spans="1:11" x14ac:dyDescent="0.2">
      <c r="A431" s="108"/>
      <c r="B431" s="72" t="str">
        <f>IF(A431&lt;&gt;"",'EDC - PARAMETRAGE'!$A$3,"")</f>
        <v/>
      </c>
      <c r="C431" s="72" t="str">
        <f>IF(A431&lt;&gt;"",VLOOKUP(A431,'EDC - PRODUCTION'!$A$7:$E$49,5,FALSE),"")</f>
        <v/>
      </c>
      <c r="D431" s="72" t="str">
        <f>IF(A431&lt;&gt;"",VLOOKUP(A431,'EDC - PRODUCTION'!$A$7:$I$49,4,FALSE),"")</f>
        <v/>
      </c>
      <c r="E431" s="44"/>
      <c r="F431" s="45" t="str">
        <f t="shared" si="20"/>
        <v/>
      </c>
      <c r="G431" s="56" t="str">
        <f t="shared" si="21"/>
        <v/>
      </c>
      <c r="H431" s="73"/>
      <c r="I431" s="73"/>
      <c r="J431" s="112" t="str">
        <f t="shared" si="22"/>
        <v/>
      </c>
      <c r="K431" s="68"/>
    </row>
    <row r="432" spans="1:11" x14ac:dyDescent="0.2">
      <c r="A432" s="108"/>
      <c r="B432" s="72" t="str">
        <f>IF(A432&lt;&gt;"",'EDC - PARAMETRAGE'!$A$3,"")</f>
        <v/>
      </c>
      <c r="C432" s="72" t="str">
        <f>IF(A432&lt;&gt;"",VLOOKUP(A432,'EDC - PRODUCTION'!$A$7:$E$49,5,FALSE),"")</f>
        <v/>
      </c>
      <c r="D432" s="72" t="str">
        <f>IF(A432&lt;&gt;"",VLOOKUP(A432,'EDC - PRODUCTION'!$A$7:$I$49,4,FALSE),"")</f>
        <v/>
      </c>
      <c r="E432" s="44"/>
      <c r="F432" s="45" t="str">
        <f t="shared" si="20"/>
        <v/>
      </c>
      <c r="G432" s="56" t="str">
        <f t="shared" si="21"/>
        <v/>
      </c>
      <c r="H432" s="73"/>
      <c r="I432" s="73"/>
      <c r="J432" s="112" t="str">
        <f t="shared" si="22"/>
        <v/>
      </c>
      <c r="K432" s="68"/>
    </row>
    <row r="433" spans="1:11" x14ac:dyDescent="0.2">
      <c r="A433" s="108"/>
      <c r="B433" s="72" t="str">
        <f>IF(A433&lt;&gt;"",'EDC - PARAMETRAGE'!$A$3,"")</f>
        <v/>
      </c>
      <c r="C433" s="72" t="str">
        <f>IF(A433&lt;&gt;"",VLOOKUP(A433,'EDC - PRODUCTION'!$A$7:$E$49,5,FALSE),"")</f>
        <v/>
      </c>
      <c r="D433" s="72" t="str">
        <f>IF(A433&lt;&gt;"",VLOOKUP(A433,'EDC - PRODUCTION'!$A$7:$I$49,4,FALSE),"")</f>
        <v/>
      </c>
      <c r="E433" s="44"/>
      <c r="F433" s="45" t="str">
        <f t="shared" si="20"/>
        <v/>
      </c>
      <c r="G433" s="56" t="str">
        <f t="shared" si="21"/>
        <v/>
      </c>
      <c r="H433" s="73"/>
      <c r="I433" s="73"/>
      <c r="J433" s="112" t="str">
        <f t="shared" si="22"/>
        <v/>
      </c>
      <c r="K433" s="68"/>
    </row>
    <row r="434" spans="1:11" x14ac:dyDescent="0.2">
      <c r="A434" s="108"/>
      <c r="B434" s="72" t="str">
        <f>IF(A434&lt;&gt;"",'EDC - PARAMETRAGE'!$A$3,"")</f>
        <v/>
      </c>
      <c r="C434" s="72" t="str">
        <f>IF(A434&lt;&gt;"",VLOOKUP(A434,'EDC - PRODUCTION'!$A$7:$E$49,5,FALSE),"")</f>
        <v/>
      </c>
      <c r="D434" s="72" t="str">
        <f>IF(A434&lt;&gt;"",VLOOKUP(A434,'EDC - PRODUCTION'!$A$7:$I$49,4,FALSE),"")</f>
        <v/>
      </c>
      <c r="E434" s="44"/>
      <c r="F434" s="45" t="str">
        <f t="shared" si="20"/>
        <v/>
      </c>
      <c r="G434" s="56" t="str">
        <f t="shared" si="21"/>
        <v/>
      </c>
      <c r="H434" s="73"/>
      <c r="I434" s="73"/>
      <c r="J434" s="112" t="str">
        <f t="shared" si="22"/>
        <v/>
      </c>
      <c r="K434" s="68"/>
    </row>
    <row r="435" spans="1:11" x14ac:dyDescent="0.2">
      <c r="A435" s="108"/>
      <c r="B435" s="72" t="str">
        <f>IF(A435&lt;&gt;"",'EDC - PARAMETRAGE'!$A$3,"")</f>
        <v/>
      </c>
      <c r="C435" s="72" t="str">
        <f>IF(A435&lt;&gt;"",VLOOKUP(A435,'EDC - PRODUCTION'!$A$7:$E$49,5,FALSE),"")</f>
        <v/>
      </c>
      <c r="D435" s="72" t="str">
        <f>IF(A435&lt;&gt;"",VLOOKUP(A435,'EDC - PRODUCTION'!$A$7:$I$49,4,FALSE),"")</f>
        <v/>
      </c>
      <c r="E435" s="44"/>
      <c r="F435" s="45" t="str">
        <f t="shared" si="20"/>
        <v/>
      </c>
      <c r="G435" s="56" t="str">
        <f t="shared" si="21"/>
        <v/>
      </c>
      <c r="H435" s="73"/>
      <c r="I435" s="73"/>
      <c r="J435" s="112" t="str">
        <f t="shared" si="22"/>
        <v/>
      </c>
      <c r="K435" s="68"/>
    </row>
    <row r="436" spans="1:11" x14ac:dyDescent="0.2">
      <c r="A436" s="108"/>
      <c r="B436" s="72" t="str">
        <f>IF(A436&lt;&gt;"",'EDC - PARAMETRAGE'!$A$3,"")</f>
        <v/>
      </c>
      <c r="C436" s="72" t="str">
        <f>IF(A436&lt;&gt;"",VLOOKUP(A436,'EDC - PRODUCTION'!$A$7:$E$49,5,FALSE),"")</f>
        <v/>
      </c>
      <c r="D436" s="72" t="str">
        <f>IF(A436&lt;&gt;"",VLOOKUP(A436,'EDC - PRODUCTION'!$A$7:$I$49,4,FALSE),"")</f>
        <v/>
      </c>
      <c r="E436" s="44"/>
      <c r="F436" s="45" t="str">
        <f t="shared" si="20"/>
        <v/>
      </c>
      <c r="G436" s="56" t="str">
        <f t="shared" si="21"/>
        <v/>
      </c>
      <c r="H436" s="73"/>
      <c r="I436" s="73"/>
      <c r="J436" s="112" t="str">
        <f t="shared" si="22"/>
        <v/>
      </c>
      <c r="K436" s="68"/>
    </row>
    <row r="437" spans="1:11" x14ac:dyDescent="0.2">
      <c r="A437" s="108"/>
      <c r="B437" s="72" t="str">
        <f>IF(A437&lt;&gt;"",'EDC - PARAMETRAGE'!$A$3,"")</f>
        <v/>
      </c>
      <c r="C437" s="72" t="str">
        <f>IF(A437&lt;&gt;"",VLOOKUP(A437,'EDC - PRODUCTION'!$A$7:$E$49,5,FALSE),"")</f>
        <v/>
      </c>
      <c r="D437" s="72" t="str">
        <f>IF(A437&lt;&gt;"",VLOOKUP(A437,'EDC - PRODUCTION'!$A$7:$I$49,4,FALSE),"")</f>
        <v/>
      </c>
      <c r="E437" s="44"/>
      <c r="F437" s="45" t="str">
        <f t="shared" si="20"/>
        <v/>
      </c>
      <c r="G437" s="56" t="str">
        <f t="shared" si="21"/>
        <v/>
      </c>
      <c r="H437" s="73"/>
      <c r="I437" s="73"/>
      <c r="J437" s="112" t="str">
        <f t="shared" si="22"/>
        <v/>
      </c>
      <c r="K437" s="68"/>
    </row>
    <row r="438" spans="1:11" x14ac:dyDescent="0.2">
      <c r="A438" s="108"/>
      <c r="B438" s="72" t="str">
        <f>IF(A438&lt;&gt;"",'EDC - PARAMETRAGE'!$A$3,"")</f>
        <v/>
      </c>
      <c r="C438" s="72" t="str">
        <f>IF(A438&lt;&gt;"",VLOOKUP(A438,'EDC - PRODUCTION'!$A$7:$E$49,5,FALSE),"")</f>
        <v/>
      </c>
      <c r="D438" s="72" t="str">
        <f>IF(A438&lt;&gt;"",VLOOKUP(A438,'EDC - PRODUCTION'!$A$7:$I$49,4,FALSE),"")</f>
        <v/>
      </c>
      <c r="E438" s="44"/>
      <c r="F438" s="45" t="str">
        <f t="shared" si="20"/>
        <v/>
      </c>
      <c r="G438" s="56" t="str">
        <f t="shared" si="21"/>
        <v/>
      </c>
      <c r="H438" s="73"/>
      <c r="I438" s="73"/>
      <c r="J438" s="112" t="str">
        <f t="shared" si="22"/>
        <v/>
      </c>
      <c r="K438" s="68"/>
    </row>
    <row r="439" spans="1:11" x14ac:dyDescent="0.2">
      <c r="A439" s="108"/>
      <c r="B439" s="72" t="str">
        <f>IF(A439&lt;&gt;"",'EDC - PARAMETRAGE'!$A$3,"")</f>
        <v/>
      </c>
      <c r="C439" s="72" t="str">
        <f>IF(A439&lt;&gt;"",VLOOKUP(A439,'EDC - PRODUCTION'!$A$7:$E$49,5,FALSE),"")</f>
        <v/>
      </c>
      <c r="D439" s="72" t="str">
        <f>IF(A439&lt;&gt;"",VLOOKUP(A439,'EDC - PRODUCTION'!$A$7:$I$49,4,FALSE),"")</f>
        <v/>
      </c>
      <c r="E439" s="44"/>
      <c r="F439" s="45" t="str">
        <f t="shared" si="20"/>
        <v/>
      </c>
      <c r="G439" s="56" t="str">
        <f t="shared" si="21"/>
        <v/>
      </c>
      <c r="H439" s="73"/>
      <c r="I439" s="73"/>
      <c r="J439" s="112" t="str">
        <f t="shared" si="22"/>
        <v/>
      </c>
      <c r="K439" s="68"/>
    </row>
    <row r="440" spans="1:11" x14ac:dyDescent="0.2">
      <c r="A440" s="108"/>
      <c r="B440" s="72" t="str">
        <f>IF(A440&lt;&gt;"",'EDC - PARAMETRAGE'!$A$3,"")</f>
        <v/>
      </c>
      <c r="C440" s="72" t="str">
        <f>IF(A440&lt;&gt;"",VLOOKUP(A440,'EDC - PRODUCTION'!$A$7:$E$49,5,FALSE),"")</f>
        <v/>
      </c>
      <c r="D440" s="72" t="str">
        <f>IF(A440&lt;&gt;"",VLOOKUP(A440,'EDC - PRODUCTION'!$A$7:$I$49,4,FALSE),"")</f>
        <v/>
      </c>
      <c r="E440" s="44"/>
      <c r="F440" s="45" t="str">
        <f t="shared" si="20"/>
        <v/>
      </c>
      <c r="G440" s="56" t="str">
        <f t="shared" si="21"/>
        <v/>
      </c>
      <c r="H440" s="73"/>
      <c r="I440" s="73"/>
      <c r="J440" s="112" t="str">
        <f t="shared" si="22"/>
        <v/>
      </c>
      <c r="K440" s="68"/>
    </row>
    <row r="441" spans="1:11" x14ac:dyDescent="0.2">
      <c r="A441" s="108"/>
      <c r="B441" s="72" t="str">
        <f>IF(A441&lt;&gt;"",'EDC - PARAMETRAGE'!$A$3,"")</f>
        <v/>
      </c>
      <c r="C441" s="72" t="str">
        <f>IF(A441&lt;&gt;"",VLOOKUP(A441,'EDC - PRODUCTION'!$A$7:$E$49,5,FALSE),"")</f>
        <v/>
      </c>
      <c r="D441" s="72" t="str">
        <f>IF(A441&lt;&gt;"",VLOOKUP(A441,'EDC - PRODUCTION'!$A$7:$I$49,4,FALSE),"")</f>
        <v/>
      </c>
      <c r="E441" s="44"/>
      <c r="F441" s="45" t="str">
        <f t="shared" si="20"/>
        <v/>
      </c>
      <c r="G441" s="56" t="str">
        <f t="shared" si="21"/>
        <v/>
      </c>
      <c r="H441" s="73"/>
      <c r="I441" s="73"/>
      <c r="J441" s="112" t="str">
        <f t="shared" si="22"/>
        <v/>
      </c>
      <c r="K441" s="68"/>
    </row>
    <row r="442" spans="1:11" x14ac:dyDescent="0.2">
      <c r="A442" s="108"/>
      <c r="B442" s="72" t="str">
        <f>IF(A442&lt;&gt;"",'EDC - PARAMETRAGE'!$A$3,"")</f>
        <v/>
      </c>
      <c r="C442" s="72" t="str">
        <f>IF(A442&lt;&gt;"",VLOOKUP(A442,'EDC - PRODUCTION'!$A$7:$E$49,5,FALSE),"")</f>
        <v/>
      </c>
      <c r="D442" s="72" t="str">
        <f>IF(A442&lt;&gt;"",VLOOKUP(A442,'EDC - PRODUCTION'!$A$7:$I$49,4,FALSE),"")</f>
        <v/>
      </c>
      <c r="E442" s="44"/>
      <c r="F442" s="45" t="str">
        <f t="shared" si="20"/>
        <v/>
      </c>
      <c r="G442" s="56" t="str">
        <f t="shared" si="21"/>
        <v/>
      </c>
      <c r="H442" s="73"/>
      <c r="I442" s="73"/>
      <c r="J442" s="112" t="str">
        <f t="shared" si="22"/>
        <v/>
      </c>
      <c r="K442" s="68"/>
    </row>
    <row r="443" spans="1:11" x14ac:dyDescent="0.2">
      <c r="A443" s="108"/>
      <c r="B443" s="72" t="str">
        <f>IF(A443&lt;&gt;"",'EDC - PARAMETRAGE'!$A$3,"")</f>
        <v/>
      </c>
      <c r="C443" s="72" t="str">
        <f>IF(A443&lt;&gt;"",VLOOKUP(A443,'EDC - PRODUCTION'!$A$7:$E$49,5,FALSE),"")</f>
        <v/>
      </c>
      <c r="D443" s="72" t="str">
        <f>IF(A443&lt;&gt;"",VLOOKUP(A443,'EDC - PRODUCTION'!$A$7:$I$49,4,FALSE),"")</f>
        <v/>
      </c>
      <c r="E443" s="44"/>
      <c r="F443" s="45" t="str">
        <f t="shared" si="20"/>
        <v/>
      </c>
      <c r="G443" s="56" t="str">
        <f t="shared" si="21"/>
        <v/>
      </c>
      <c r="H443" s="73"/>
      <c r="I443" s="73"/>
      <c r="J443" s="112" t="str">
        <f t="shared" si="22"/>
        <v/>
      </c>
      <c r="K443" s="68"/>
    </row>
    <row r="444" spans="1:11" x14ac:dyDescent="0.2">
      <c r="A444" s="108"/>
      <c r="B444" s="72" t="str">
        <f>IF(A444&lt;&gt;"",'EDC - PARAMETRAGE'!$A$3,"")</f>
        <v/>
      </c>
      <c r="C444" s="72" t="str">
        <f>IF(A444&lt;&gt;"",VLOOKUP(A444,'EDC - PRODUCTION'!$A$7:$E$49,5,FALSE),"")</f>
        <v/>
      </c>
      <c r="D444" s="72" t="str">
        <f>IF(A444&lt;&gt;"",VLOOKUP(A444,'EDC - PRODUCTION'!$A$7:$I$49,4,FALSE),"")</f>
        <v/>
      </c>
      <c r="E444" s="44"/>
      <c r="F444" s="45" t="str">
        <f t="shared" si="20"/>
        <v/>
      </c>
      <c r="G444" s="56" t="str">
        <f t="shared" si="21"/>
        <v/>
      </c>
      <c r="H444" s="73"/>
      <c r="I444" s="73"/>
      <c r="J444" s="112" t="str">
        <f t="shared" si="22"/>
        <v/>
      </c>
      <c r="K444" s="68"/>
    </row>
    <row r="445" spans="1:11" x14ac:dyDescent="0.2">
      <c r="A445" s="108"/>
      <c r="B445" s="72" t="str">
        <f>IF(A445&lt;&gt;"",'EDC - PARAMETRAGE'!$A$3,"")</f>
        <v/>
      </c>
      <c r="C445" s="72" t="str">
        <f>IF(A445&lt;&gt;"",VLOOKUP(A445,'EDC - PRODUCTION'!$A$7:$E$49,5,FALSE),"")</f>
        <v/>
      </c>
      <c r="D445" s="72" t="str">
        <f>IF(A445&lt;&gt;"",VLOOKUP(A445,'EDC - PRODUCTION'!$A$7:$I$49,4,FALSE),"")</f>
        <v/>
      </c>
      <c r="E445" s="44"/>
      <c r="F445" s="45" t="str">
        <f t="shared" si="20"/>
        <v/>
      </c>
      <c r="G445" s="56" t="str">
        <f t="shared" si="21"/>
        <v/>
      </c>
      <c r="H445" s="73"/>
      <c r="I445" s="73"/>
      <c r="J445" s="112" t="str">
        <f t="shared" si="22"/>
        <v/>
      </c>
      <c r="K445" s="68"/>
    </row>
    <row r="446" spans="1:11" x14ac:dyDescent="0.2">
      <c r="A446" s="108"/>
      <c r="B446" s="72" t="str">
        <f>IF(A446&lt;&gt;"",'EDC - PARAMETRAGE'!$A$3,"")</f>
        <v/>
      </c>
      <c r="C446" s="72" t="str">
        <f>IF(A446&lt;&gt;"",VLOOKUP(A446,'EDC - PRODUCTION'!$A$7:$E$49,5,FALSE),"")</f>
        <v/>
      </c>
      <c r="D446" s="72" t="str">
        <f>IF(A446&lt;&gt;"",VLOOKUP(A446,'EDC - PRODUCTION'!$A$7:$I$49,4,FALSE),"")</f>
        <v/>
      </c>
      <c r="E446" s="44"/>
      <c r="F446" s="45" t="str">
        <f t="shared" si="20"/>
        <v/>
      </c>
      <c r="G446" s="56" t="str">
        <f t="shared" si="21"/>
        <v/>
      </c>
      <c r="H446" s="73"/>
      <c r="I446" s="73"/>
      <c r="J446" s="112" t="str">
        <f t="shared" si="22"/>
        <v/>
      </c>
      <c r="K446" s="68"/>
    </row>
    <row r="447" spans="1:11" x14ac:dyDescent="0.2">
      <c r="A447" s="108"/>
      <c r="B447" s="72" t="str">
        <f>IF(A447&lt;&gt;"",'EDC - PARAMETRAGE'!$A$3,"")</f>
        <v/>
      </c>
      <c r="C447" s="72" t="str">
        <f>IF(A447&lt;&gt;"",VLOOKUP(A447,'EDC - PRODUCTION'!$A$7:$E$49,5,FALSE),"")</f>
        <v/>
      </c>
      <c r="D447" s="72" t="str">
        <f>IF(A447&lt;&gt;"",VLOOKUP(A447,'EDC - PRODUCTION'!$A$7:$I$49,4,FALSE),"")</f>
        <v/>
      </c>
      <c r="E447" s="44"/>
      <c r="F447" s="45" t="str">
        <f t="shared" si="20"/>
        <v/>
      </c>
      <c r="G447" s="56" t="str">
        <f t="shared" si="21"/>
        <v/>
      </c>
      <c r="H447" s="73"/>
      <c r="I447" s="73"/>
      <c r="J447" s="112" t="str">
        <f t="shared" si="22"/>
        <v/>
      </c>
      <c r="K447" s="68"/>
    </row>
    <row r="448" spans="1:11" x14ac:dyDescent="0.2">
      <c r="A448" s="108"/>
      <c r="B448" s="72" t="str">
        <f>IF(A448&lt;&gt;"",'EDC - PARAMETRAGE'!$A$3,"")</f>
        <v/>
      </c>
      <c r="C448" s="72" t="str">
        <f>IF(A448&lt;&gt;"",VLOOKUP(A448,'EDC - PRODUCTION'!$A$7:$E$49,5,FALSE),"")</f>
        <v/>
      </c>
      <c r="D448" s="72" t="str">
        <f>IF(A448&lt;&gt;"",VLOOKUP(A448,'EDC - PRODUCTION'!$A$7:$I$49,4,FALSE),"")</f>
        <v/>
      </c>
      <c r="E448" s="44"/>
      <c r="F448" s="45" t="str">
        <f t="shared" si="20"/>
        <v/>
      </c>
      <c r="G448" s="56" t="str">
        <f t="shared" si="21"/>
        <v/>
      </c>
      <c r="H448" s="73"/>
      <c r="I448" s="73"/>
      <c r="J448" s="112" t="str">
        <f t="shared" si="22"/>
        <v/>
      </c>
      <c r="K448" s="68"/>
    </row>
    <row r="449" spans="1:11" x14ac:dyDescent="0.2">
      <c r="A449" s="108"/>
      <c r="B449" s="72" t="str">
        <f>IF(A449&lt;&gt;"",'EDC - PARAMETRAGE'!$A$3,"")</f>
        <v/>
      </c>
      <c r="C449" s="72" t="str">
        <f>IF(A449&lt;&gt;"",VLOOKUP(A449,'EDC - PRODUCTION'!$A$7:$E$49,5,FALSE),"")</f>
        <v/>
      </c>
      <c r="D449" s="72" t="str">
        <f>IF(A449&lt;&gt;"",VLOOKUP(A449,'EDC - PRODUCTION'!$A$7:$I$49,4,FALSE),"")</f>
        <v/>
      </c>
      <c r="E449" s="44"/>
      <c r="F449" s="45" t="str">
        <f t="shared" si="20"/>
        <v/>
      </c>
      <c r="G449" s="56" t="str">
        <f t="shared" si="21"/>
        <v/>
      </c>
      <c r="H449" s="73"/>
      <c r="I449" s="73"/>
      <c r="J449" s="112" t="str">
        <f t="shared" si="22"/>
        <v/>
      </c>
      <c r="K449" s="68"/>
    </row>
    <row r="450" spans="1:11" x14ac:dyDescent="0.2">
      <c r="A450" s="108"/>
      <c r="B450" s="72" t="str">
        <f>IF(A450&lt;&gt;"",'EDC - PARAMETRAGE'!$A$3,"")</f>
        <v/>
      </c>
      <c r="C450" s="72" t="str">
        <f>IF(A450&lt;&gt;"",VLOOKUP(A450,'EDC - PRODUCTION'!$A$7:$E$49,5,FALSE),"")</f>
        <v/>
      </c>
      <c r="D450" s="72" t="str">
        <f>IF(A450&lt;&gt;"",VLOOKUP(A450,'EDC - PRODUCTION'!$A$7:$I$49,4,FALSE),"")</f>
        <v/>
      </c>
      <c r="E450" s="44"/>
      <c r="F450" s="45" t="str">
        <f t="shared" si="20"/>
        <v/>
      </c>
      <c r="G450" s="56" t="str">
        <f t="shared" si="21"/>
        <v/>
      </c>
      <c r="H450" s="73"/>
      <c r="I450" s="73"/>
      <c r="J450" s="112" t="str">
        <f t="shared" si="22"/>
        <v/>
      </c>
      <c r="K450" s="68"/>
    </row>
    <row r="451" spans="1:11" x14ac:dyDescent="0.2">
      <c r="A451" s="108"/>
      <c r="B451" s="72" t="str">
        <f>IF(A451&lt;&gt;"",'EDC - PARAMETRAGE'!$A$3,"")</f>
        <v/>
      </c>
      <c r="C451" s="72" t="str">
        <f>IF(A451&lt;&gt;"",VLOOKUP(A451,'EDC - PRODUCTION'!$A$7:$E$49,5,FALSE),"")</f>
        <v/>
      </c>
      <c r="D451" s="72" t="str">
        <f>IF(A451&lt;&gt;"",VLOOKUP(A451,'EDC - PRODUCTION'!$A$7:$I$49,4,FALSE),"")</f>
        <v/>
      </c>
      <c r="E451" s="44"/>
      <c r="F451" s="45" t="str">
        <f t="shared" si="20"/>
        <v/>
      </c>
      <c r="G451" s="56" t="str">
        <f t="shared" si="21"/>
        <v/>
      </c>
      <c r="H451" s="73"/>
      <c r="I451" s="73"/>
      <c r="J451" s="112" t="str">
        <f t="shared" si="22"/>
        <v/>
      </c>
      <c r="K451" s="68"/>
    </row>
    <row r="452" spans="1:11" x14ac:dyDescent="0.2">
      <c r="A452" s="108"/>
      <c r="B452" s="72" t="str">
        <f>IF(A452&lt;&gt;"",'EDC - PARAMETRAGE'!$A$3,"")</f>
        <v/>
      </c>
      <c r="C452" s="72" t="str">
        <f>IF(A452&lt;&gt;"",VLOOKUP(A452,'EDC - PRODUCTION'!$A$7:$E$49,5,FALSE),"")</f>
        <v/>
      </c>
      <c r="D452" s="72" t="str">
        <f>IF(A452&lt;&gt;"",VLOOKUP(A452,'EDC - PRODUCTION'!$A$7:$I$49,4,FALSE),"")</f>
        <v/>
      </c>
      <c r="E452" s="44"/>
      <c r="F452" s="45" t="str">
        <f t="shared" ref="F452:F515" si="23">IF(A452&lt;&gt;"","DDE","")</f>
        <v/>
      </c>
      <c r="G452" s="56" t="str">
        <f t="shared" ref="G452:G515" si="24">IF(A452&lt;&gt;"",1,"")</f>
        <v/>
      </c>
      <c r="H452" s="73"/>
      <c r="I452" s="73"/>
      <c r="J452" s="112" t="str">
        <f t="shared" ref="J452:J515" si="25">IF(A452&lt;&gt;"",SUM(H452:I452),"")</f>
        <v/>
      </c>
      <c r="K452" s="68"/>
    </row>
    <row r="453" spans="1:11" x14ac:dyDescent="0.2">
      <c r="A453" s="108"/>
      <c r="B453" s="72" t="str">
        <f>IF(A453&lt;&gt;"",'EDC - PARAMETRAGE'!$A$3,"")</f>
        <v/>
      </c>
      <c r="C453" s="72" t="str">
        <f>IF(A453&lt;&gt;"",VLOOKUP(A453,'EDC - PRODUCTION'!$A$7:$E$49,5,FALSE),"")</f>
        <v/>
      </c>
      <c r="D453" s="72" t="str">
        <f>IF(A453&lt;&gt;"",VLOOKUP(A453,'EDC - PRODUCTION'!$A$7:$I$49,4,FALSE),"")</f>
        <v/>
      </c>
      <c r="E453" s="44"/>
      <c r="F453" s="45" t="str">
        <f t="shared" si="23"/>
        <v/>
      </c>
      <c r="G453" s="56" t="str">
        <f t="shared" si="24"/>
        <v/>
      </c>
      <c r="H453" s="73"/>
      <c r="I453" s="73"/>
      <c r="J453" s="112" t="str">
        <f t="shared" si="25"/>
        <v/>
      </c>
      <c r="K453" s="68"/>
    </row>
    <row r="454" spans="1:11" x14ac:dyDescent="0.2">
      <c r="A454" s="108"/>
      <c r="B454" s="72" t="str">
        <f>IF(A454&lt;&gt;"",'EDC - PARAMETRAGE'!$A$3,"")</f>
        <v/>
      </c>
      <c r="C454" s="72" t="str">
        <f>IF(A454&lt;&gt;"",VLOOKUP(A454,'EDC - PRODUCTION'!$A$7:$E$49,5,FALSE),"")</f>
        <v/>
      </c>
      <c r="D454" s="72" t="str">
        <f>IF(A454&lt;&gt;"",VLOOKUP(A454,'EDC - PRODUCTION'!$A$7:$I$49,4,FALSE),"")</f>
        <v/>
      </c>
      <c r="E454" s="44"/>
      <c r="F454" s="45" t="str">
        <f t="shared" si="23"/>
        <v/>
      </c>
      <c r="G454" s="56" t="str">
        <f t="shared" si="24"/>
        <v/>
      </c>
      <c r="H454" s="73"/>
      <c r="I454" s="73"/>
      <c r="J454" s="112" t="str">
        <f t="shared" si="25"/>
        <v/>
      </c>
      <c r="K454" s="68"/>
    </row>
    <row r="455" spans="1:11" x14ac:dyDescent="0.2">
      <c r="A455" s="108"/>
      <c r="B455" s="72" t="str">
        <f>IF(A455&lt;&gt;"",'EDC - PARAMETRAGE'!$A$3,"")</f>
        <v/>
      </c>
      <c r="C455" s="72" t="str">
        <f>IF(A455&lt;&gt;"",VLOOKUP(A455,'EDC - PRODUCTION'!$A$7:$E$49,5,FALSE),"")</f>
        <v/>
      </c>
      <c r="D455" s="72" t="str">
        <f>IF(A455&lt;&gt;"",VLOOKUP(A455,'EDC - PRODUCTION'!$A$7:$I$49,4,FALSE),"")</f>
        <v/>
      </c>
      <c r="E455" s="44"/>
      <c r="F455" s="45" t="str">
        <f t="shared" si="23"/>
        <v/>
      </c>
      <c r="G455" s="56" t="str">
        <f t="shared" si="24"/>
        <v/>
      </c>
      <c r="H455" s="73"/>
      <c r="I455" s="73"/>
      <c r="J455" s="112" t="str">
        <f t="shared" si="25"/>
        <v/>
      </c>
      <c r="K455" s="68"/>
    </row>
    <row r="456" spans="1:11" x14ac:dyDescent="0.2">
      <c r="A456" s="108"/>
      <c r="B456" s="72" t="str">
        <f>IF(A456&lt;&gt;"",'EDC - PARAMETRAGE'!$A$3,"")</f>
        <v/>
      </c>
      <c r="C456" s="72" t="str">
        <f>IF(A456&lt;&gt;"",VLOOKUP(A456,'EDC - PRODUCTION'!$A$7:$E$49,5,FALSE),"")</f>
        <v/>
      </c>
      <c r="D456" s="72" t="str">
        <f>IF(A456&lt;&gt;"",VLOOKUP(A456,'EDC - PRODUCTION'!$A$7:$I$49,4,FALSE),"")</f>
        <v/>
      </c>
      <c r="E456" s="44"/>
      <c r="F456" s="45" t="str">
        <f t="shared" si="23"/>
        <v/>
      </c>
      <c r="G456" s="56" t="str">
        <f t="shared" si="24"/>
        <v/>
      </c>
      <c r="H456" s="73"/>
      <c r="I456" s="73"/>
      <c r="J456" s="112" t="str">
        <f t="shared" si="25"/>
        <v/>
      </c>
      <c r="K456" s="68"/>
    </row>
    <row r="457" spans="1:11" x14ac:dyDescent="0.2">
      <c r="A457" s="108"/>
      <c r="B457" s="72" t="str">
        <f>IF(A457&lt;&gt;"",'EDC - PARAMETRAGE'!$A$3,"")</f>
        <v/>
      </c>
      <c r="C457" s="72" t="str">
        <f>IF(A457&lt;&gt;"",VLOOKUP(A457,'EDC - PRODUCTION'!$A$7:$E$49,5,FALSE),"")</f>
        <v/>
      </c>
      <c r="D457" s="72" t="str">
        <f>IF(A457&lt;&gt;"",VLOOKUP(A457,'EDC - PRODUCTION'!$A$7:$I$49,4,FALSE),"")</f>
        <v/>
      </c>
      <c r="E457" s="44"/>
      <c r="F457" s="45" t="str">
        <f t="shared" si="23"/>
        <v/>
      </c>
      <c r="G457" s="56" t="str">
        <f t="shared" si="24"/>
        <v/>
      </c>
      <c r="H457" s="73"/>
      <c r="I457" s="73"/>
      <c r="J457" s="112" t="str">
        <f t="shared" si="25"/>
        <v/>
      </c>
      <c r="K457" s="68"/>
    </row>
    <row r="458" spans="1:11" x14ac:dyDescent="0.2">
      <c r="A458" s="108"/>
      <c r="B458" s="72" t="str">
        <f>IF(A458&lt;&gt;"",'EDC - PARAMETRAGE'!$A$3,"")</f>
        <v/>
      </c>
      <c r="C458" s="72" t="str">
        <f>IF(A458&lt;&gt;"",VLOOKUP(A458,'EDC - PRODUCTION'!$A$7:$E$49,5,FALSE),"")</f>
        <v/>
      </c>
      <c r="D458" s="72" t="str">
        <f>IF(A458&lt;&gt;"",VLOOKUP(A458,'EDC - PRODUCTION'!$A$7:$I$49,4,FALSE),"")</f>
        <v/>
      </c>
      <c r="E458" s="44"/>
      <c r="F458" s="45" t="str">
        <f t="shared" si="23"/>
        <v/>
      </c>
      <c r="G458" s="56" t="str">
        <f t="shared" si="24"/>
        <v/>
      </c>
      <c r="H458" s="73"/>
      <c r="I458" s="73"/>
      <c r="J458" s="112" t="str">
        <f t="shared" si="25"/>
        <v/>
      </c>
      <c r="K458" s="68"/>
    </row>
    <row r="459" spans="1:11" x14ac:dyDescent="0.2">
      <c r="A459" s="108"/>
      <c r="B459" s="72" t="str">
        <f>IF(A459&lt;&gt;"",'EDC - PARAMETRAGE'!$A$3,"")</f>
        <v/>
      </c>
      <c r="C459" s="72" t="str">
        <f>IF(A459&lt;&gt;"",VLOOKUP(A459,'EDC - PRODUCTION'!$A$7:$E$49,5,FALSE),"")</f>
        <v/>
      </c>
      <c r="D459" s="72" t="str">
        <f>IF(A459&lt;&gt;"",VLOOKUP(A459,'EDC - PRODUCTION'!$A$7:$I$49,4,FALSE),"")</f>
        <v/>
      </c>
      <c r="E459" s="44"/>
      <c r="F459" s="45" t="str">
        <f t="shared" si="23"/>
        <v/>
      </c>
      <c r="G459" s="56" t="str">
        <f t="shared" si="24"/>
        <v/>
      </c>
      <c r="H459" s="73"/>
      <c r="I459" s="73"/>
      <c r="J459" s="112" t="str">
        <f t="shared" si="25"/>
        <v/>
      </c>
      <c r="K459" s="68"/>
    </row>
    <row r="460" spans="1:11" x14ac:dyDescent="0.2">
      <c r="A460" s="108"/>
      <c r="B460" s="72" t="str">
        <f>IF(A460&lt;&gt;"",'EDC - PARAMETRAGE'!$A$3,"")</f>
        <v/>
      </c>
      <c r="C460" s="72" t="str">
        <f>IF(A460&lt;&gt;"",VLOOKUP(A460,'EDC - PRODUCTION'!$A$7:$E$49,5,FALSE),"")</f>
        <v/>
      </c>
      <c r="D460" s="72" t="str">
        <f>IF(A460&lt;&gt;"",VLOOKUP(A460,'EDC - PRODUCTION'!$A$7:$I$49,4,FALSE),"")</f>
        <v/>
      </c>
      <c r="E460" s="44"/>
      <c r="F460" s="45" t="str">
        <f t="shared" si="23"/>
        <v/>
      </c>
      <c r="G460" s="56" t="str">
        <f t="shared" si="24"/>
        <v/>
      </c>
      <c r="H460" s="73"/>
      <c r="I460" s="73"/>
      <c r="J460" s="112" t="str">
        <f t="shared" si="25"/>
        <v/>
      </c>
      <c r="K460" s="68"/>
    </row>
    <row r="461" spans="1:11" x14ac:dyDescent="0.2">
      <c r="A461" s="108"/>
      <c r="B461" s="72" t="str">
        <f>IF(A461&lt;&gt;"",'EDC - PARAMETRAGE'!$A$3,"")</f>
        <v/>
      </c>
      <c r="C461" s="72" t="str">
        <f>IF(A461&lt;&gt;"",VLOOKUP(A461,'EDC - PRODUCTION'!$A$7:$E$49,5,FALSE),"")</f>
        <v/>
      </c>
      <c r="D461" s="72" t="str">
        <f>IF(A461&lt;&gt;"",VLOOKUP(A461,'EDC - PRODUCTION'!$A$7:$I$49,4,FALSE),"")</f>
        <v/>
      </c>
      <c r="E461" s="44"/>
      <c r="F461" s="45" t="str">
        <f t="shared" si="23"/>
        <v/>
      </c>
      <c r="G461" s="56" t="str">
        <f t="shared" si="24"/>
        <v/>
      </c>
      <c r="H461" s="73"/>
      <c r="I461" s="73"/>
      <c r="J461" s="112" t="str">
        <f t="shared" si="25"/>
        <v/>
      </c>
      <c r="K461" s="68"/>
    </row>
    <row r="462" spans="1:11" x14ac:dyDescent="0.2">
      <c r="A462" s="108"/>
      <c r="B462" s="72" t="str">
        <f>IF(A462&lt;&gt;"",'EDC - PARAMETRAGE'!$A$3,"")</f>
        <v/>
      </c>
      <c r="C462" s="72" t="str">
        <f>IF(A462&lt;&gt;"",VLOOKUP(A462,'EDC - PRODUCTION'!$A$7:$E$49,5,FALSE),"")</f>
        <v/>
      </c>
      <c r="D462" s="72" t="str">
        <f>IF(A462&lt;&gt;"",VLOOKUP(A462,'EDC - PRODUCTION'!$A$7:$I$49,4,FALSE),"")</f>
        <v/>
      </c>
      <c r="E462" s="44"/>
      <c r="F462" s="45" t="str">
        <f t="shared" si="23"/>
        <v/>
      </c>
      <c r="G462" s="56" t="str">
        <f t="shared" si="24"/>
        <v/>
      </c>
      <c r="H462" s="73"/>
      <c r="I462" s="73"/>
      <c r="J462" s="112" t="str">
        <f t="shared" si="25"/>
        <v/>
      </c>
      <c r="K462" s="68"/>
    </row>
    <row r="463" spans="1:11" x14ac:dyDescent="0.2">
      <c r="A463" s="108"/>
      <c r="B463" s="72" t="str">
        <f>IF(A463&lt;&gt;"",'EDC - PARAMETRAGE'!$A$3,"")</f>
        <v/>
      </c>
      <c r="C463" s="72" t="str">
        <f>IF(A463&lt;&gt;"",VLOOKUP(A463,'EDC - PRODUCTION'!$A$7:$E$49,5,FALSE),"")</f>
        <v/>
      </c>
      <c r="D463" s="72" t="str">
        <f>IF(A463&lt;&gt;"",VLOOKUP(A463,'EDC - PRODUCTION'!$A$7:$I$49,4,FALSE),"")</f>
        <v/>
      </c>
      <c r="E463" s="44"/>
      <c r="F463" s="45" t="str">
        <f t="shared" si="23"/>
        <v/>
      </c>
      <c r="G463" s="56" t="str">
        <f t="shared" si="24"/>
        <v/>
      </c>
      <c r="H463" s="73"/>
      <c r="I463" s="73"/>
      <c r="J463" s="112" t="str">
        <f t="shared" si="25"/>
        <v/>
      </c>
      <c r="K463" s="68"/>
    </row>
    <row r="464" spans="1:11" x14ac:dyDescent="0.2">
      <c r="A464" s="108"/>
      <c r="B464" s="72" t="str">
        <f>IF(A464&lt;&gt;"",'EDC - PARAMETRAGE'!$A$3,"")</f>
        <v/>
      </c>
      <c r="C464" s="72" t="str">
        <f>IF(A464&lt;&gt;"",VLOOKUP(A464,'EDC - PRODUCTION'!$A$7:$E$49,5,FALSE),"")</f>
        <v/>
      </c>
      <c r="D464" s="72" t="str">
        <f>IF(A464&lt;&gt;"",VLOOKUP(A464,'EDC - PRODUCTION'!$A$7:$I$49,4,FALSE),"")</f>
        <v/>
      </c>
      <c r="E464" s="44"/>
      <c r="F464" s="45" t="str">
        <f t="shared" si="23"/>
        <v/>
      </c>
      <c r="G464" s="56" t="str">
        <f t="shared" si="24"/>
        <v/>
      </c>
      <c r="H464" s="73"/>
      <c r="I464" s="73"/>
      <c r="J464" s="112" t="str">
        <f t="shared" si="25"/>
        <v/>
      </c>
      <c r="K464" s="68"/>
    </row>
    <row r="465" spans="1:11" x14ac:dyDescent="0.2">
      <c r="A465" s="108"/>
      <c r="B465" s="72" t="str">
        <f>IF(A465&lt;&gt;"",'EDC - PARAMETRAGE'!$A$3,"")</f>
        <v/>
      </c>
      <c r="C465" s="72" t="str">
        <f>IF(A465&lt;&gt;"",VLOOKUP(A465,'EDC - PRODUCTION'!$A$7:$E$49,5,FALSE),"")</f>
        <v/>
      </c>
      <c r="D465" s="72" t="str">
        <f>IF(A465&lt;&gt;"",VLOOKUP(A465,'EDC - PRODUCTION'!$A$7:$I$49,4,FALSE),"")</f>
        <v/>
      </c>
      <c r="E465" s="44"/>
      <c r="F465" s="45" t="str">
        <f t="shared" si="23"/>
        <v/>
      </c>
      <c r="G465" s="56" t="str">
        <f t="shared" si="24"/>
        <v/>
      </c>
      <c r="H465" s="73"/>
      <c r="I465" s="73"/>
      <c r="J465" s="112" t="str">
        <f t="shared" si="25"/>
        <v/>
      </c>
      <c r="K465" s="68"/>
    </row>
    <row r="466" spans="1:11" x14ac:dyDescent="0.2">
      <c r="A466" s="108"/>
      <c r="B466" s="72" t="str">
        <f>IF(A466&lt;&gt;"",'EDC - PARAMETRAGE'!$A$3,"")</f>
        <v/>
      </c>
      <c r="C466" s="72" t="str">
        <f>IF(A466&lt;&gt;"",VLOOKUP(A466,'EDC - PRODUCTION'!$A$7:$E$49,5,FALSE),"")</f>
        <v/>
      </c>
      <c r="D466" s="72" t="str">
        <f>IF(A466&lt;&gt;"",VLOOKUP(A466,'EDC - PRODUCTION'!$A$7:$I$49,4,FALSE),"")</f>
        <v/>
      </c>
      <c r="E466" s="44"/>
      <c r="F466" s="45" t="str">
        <f t="shared" si="23"/>
        <v/>
      </c>
      <c r="G466" s="56" t="str">
        <f t="shared" si="24"/>
        <v/>
      </c>
      <c r="H466" s="73"/>
      <c r="I466" s="73"/>
      <c r="J466" s="112" t="str">
        <f t="shared" si="25"/>
        <v/>
      </c>
      <c r="K466" s="68"/>
    </row>
    <row r="467" spans="1:11" x14ac:dyDescent="0.2">
      <c r="A467" s="108"/>
      <c r="B467" s="72" t="str">
        <f>IF(A467&lt;&gt;"",'EDC - PARAMETRAGE'!$A$3,"")</f>
        <v/>
      </c>
      <c r="C467" s="72" t="str">
        <f>IF(A467&lt;&gt;"",VLOOKUP(A467,'EDC - PRODUCTION'!$A$7:$E$49,5,FALSE),"")</f>
        <v/>
      </c>
      <c r="D467" s="72" t="str">
        <f>IF(A467&lt;&gt;"",VLOOKUP(A467,'EDC - PRODUCTION'!$A$7:$I$49,4,FALSE),"")</f>
        <v/>
      </c>
      <c r="E467" s="44"/>
      <c r="F467" s="45" t="str">
        <f t="shared" si="23"/>
        <v/>
      </c>
      <c r="G467" s="56" t="str">
        <f t="shared" si="24"/>
        <v/>
      </c>
      <c r="H467" s="73"/>
      <c r="I467" s="73"/>
      <c r="J467" s="112" t="str">
        <f t="shared" si="25"/>
        <v/>
      </c>
      <c r="K467" s="68"/>
    </row>
    <row r="468" spans="1:11" x14ac:dyDescent="0.2">
      <c r="A468" s="108"/>
      <c r="B468" s="72" t="str">
        <f>IF(A468&lt;&gt;"",'EDC - PARAMETRAGE'!$A$3,"")</f>
        <v/>
      </c>
      <c r="C468" s="72" t="str">
        <f>IF(A468&lt;&gt;"",VLOOKUP(A468,'EDC - PRODUCTION'!$A$7:$E$49,5,FALSE),"")</f>
        <v/>
      </c>
      <c r="D468" s="72" t="str">
        <f>IF(A468&lt;&gt;"",VLOOKUP(A468,'EDC - PRODUCTION'!$A$7:$I$49,4,FALSE),"")</f>
        <v/>
      </c>
      <c r="E468" s="44"/>
      <c r="F468" s="45" t="str">
        <f t="shared" si="23"/>
        <v/>
      </c>
      <c r="G468" s="56" t="str">
        <f t="shared" si="24"/>
        <v/>
      </c>
      <c r="H468" s="73"/>
      <c r="I468" s="73"/>
      <c r="J468" s="112" t="str">
        <f t="shared" si="25"/>
        <v/>
      </c>
      <c r="K468" s="68"/>
    </row>
    <row r="469" spans="1:11" x14ac:dyDescent="0.2">
      <c r="A469" s="108"/>
      <c r="B469" s="72" t="str">
        <f>IF(A469&lt;&gt;"",'EDC - PARAMETRAGE'!$A$3,"")</f>
        <v/>
      </c>
      <c r="C469" s="72" t="str">
        <f>IF(A469&lt;&gt;"",VLOOKUP(A469,'EDC - PRODUCTION'!$A$7:$E$49,5,FALSE),"")</f>
        <v/>
      </c>
      <c r="D469" s="72" t="str">
        <f>IF(A469&lt;&gt;"",VLOOKUP(A469,'EDC - PRODUCTION'!$A$7:$I$49,4,FALSE),"")</f>
        <v/>
      </c>
      <c r="E469" s="44"/>
      <c r="F469" s="45" t="str">
        <f t="shared" si="23"/>
        <v/>
      </c>
      <c r="G469" s="56" t="str">
        <f t="shared" si="24"/>
        <v/>
      </c>
      <c r="H469" s="73"/>
      <c r="I469" s="73"/>
      <c r="J469" s="112" t="str">
        <f t="shared" si="25"/>
        <v/>
      </c>
      <c r="K469" s="68"/>
    </row>
    <row r="470" spans="1:11" x14ac:dyDescent="0.2">
      <c r="A470" s="108"/>
      <c r="B470" s="72" t="str">
        <f>IF(A470&lt;&gt;"",'EDC - PARAMETRAGE'!$A$3,"")</f>
        <v/>
      </c>
      <c r="C470" s="72" t="str">
        <f>IF(A470&lt;&gt;"",VLOOKUP(A470,'EDC - PRODUCTION'!$A$7:$E$49,5,FALSE),"")</f>
        <v/>
      </c>
      <c r="D470" s="72" t="str">
        <f>IF(A470&lt;&gt;"",VLOOKUP(A470,'EDC - PRODUCTION'!$A$7:$I$49,4,FALSE),"")</f>
        <v/>
      </c>
      <c r="E470" s="44"/>
      <c r="F470" s="45" t="str">
        <f t="shared" si="23"/>
        <v/>
      </c>
      <c r="G470" s="56" t="str">
        <f t="shared" si="24"/>
        <v/>
      </c>
      <c r="H470" s="73"/>
      <c r="I470" s="73"/>
      <c r="J470" s="112" t="str">
        <f t="shared" si="25"/>
        <v/>
      </c>
      <c r="K470" s="68"/>
    </row>
    <row r="471" spans="1:11" x14ac:dyDescent="0.2">
      <c r="A471" s="108"/>
      <c r="B471" s="72" t="str">
        <f>IF(A471&lt;&gt;"",'EDC - PARAMETRAGE'!$A$3,"")</f>
        <v/>
      </c>
      <c r="C471" s="72" t="str">
        <f>IF(A471&lt;&gt;"",VLOOKUP(A471,'EDC - PRODUCTION'!$A$7:$E$49,5,FALSE),"")</f>
        <v/>
      </c>
      <c r="D471" s="72" t="str">
        <f>IF(A471&lt;&gt;"",VLOOKUP(A471,'EDC - PRODUCTION'!$A$7:$I$49,4,FALSE),"")</f>
        <v/>
      </c>
      <c r="E471" s="44"/>
      <c r="F471" s="45" t="str">
        <f t="shared" si="23"/>
        <v/>
      </c>
      <c r="G471" s="56" t="str">
        <f t="shared" si="24"/>
        <v/>
      </c>
      <c r="H471" s="73"/>
      <c r="I471" s="73"/>
      <c r="J471" s="112" t="str">
        <f t="shared" si="25"/>
        <v/>
      </c>
      <c r="K471" s="68"/>
    </row>
    <row r="472" spans="1:11" x14ac:dyDescent="0.2">
      <c r="A472" s="108"/>
      <c r="B472" s="72" t="str">
        <f>IF(A472&lt;&gt;"",'EDC - PARAMETRAGE'!$A$3,"")</f>
        <v/>
      </c>
      <c r="C472" s="72" t="str">
        <f>IF(A472&lt;&gt;"",VLOOKUP(A472,'EDC - PRODUCTION'!$A$7:$E$49,5,FALSE),"")</f>
        <v/>
      </c>
      <c r="D472" s="72" t="str">
        <f>IF(A472&lt;&gt;"",VLOOKUP(A472,'EDC - PRODUCTION'!$A$7:$I$49,4,FALSE),"")</f>
        <v/>
      </c>
      <c r="E472" s="44"/>
      <c r="F472" s="45" t="str">
        <f t="shared" si="23"/>
        <v/>
      </c>
      <c r="G472" s="56" t="str">
        <f t="shared" si="24"/>
        <v/>
      </c>
      <c r="H472" s="73"/>
      <c r="I472" s="73"/>
      <c r="J472" s="112" t="str">
        <f t="shared" si="25"/>
        <v/>
      </c>
      <c r="K472" s="68"/>
    </row>
    <row r="473" spans="1:11" x14ac:dyDescent="0.2">
      <c r="A473" s="108"/>
      <c r="B473" s="72" t="str">
        <f>IF(A473&lt;&gt;"",'EDC - PARAMETRAGE'!$A$3,"")</f>
        <v/>
      </c>
      <c r="C473" s="72" t="str">
        <f>IF(A473&lt;&gt;"",VLOOKUP(A473,'EDC - PRODUCTION'!$A$7:$E$49,5,FALSE),"")</f>
        <v/>
      </c>
      <c r="D473" s="72" t="str">
        <f>IF(A473&lt;&gt;"",VLOOKUP(A473,'EDC - PRODUCTION'!$A$7:$I$49,4,FALSE),"")</f>
        <v/>
      </c>
      <c r="E473" s="44"/>
      <c r="F473" s="45" t="str">
        <f t="shared" si="23"/>
        <v/>
      </c>
      <c r="G473" s="56" t="str">
        <f t="shared" si="24"/>
        <v/>
      </c>
      <c r="H473" s="73"/>
      <c r="I473" s="73"/>
      <c r="J473" s="112" t="str">
        <f t="shared" si="25"/>
        <v/>
      </c>
      <c r="K473" s="68"/>
    </row>
    <row r="474" spans="1:11" x14ac:dyDescent="0.2">
      <c r="A474" s="108"/>
      <c r="B474" s="72" t="str">
        <f>IF(A474&lt;&gt;"",'EDC - PARAMETRAGE'!$A$3,"")</f>
        <v/>
      </c>
      <c r="C474" s="72" t="str">
        <f>IF(A474&lt;&gt;"",VLOOKUP(A474,'EDC - PRODUCTION'!$A$7:$E$49,5,FALSE),"")</f>
        <v/>
      </c>
      <c r="D474" s="72" t="str">
        <f>IF(A474&lt;&gt;"",VLOOKUP(A474,'EDC - PRODUCTION'!$A$7:$I$49,4,FALSE),"")</f>
        <v/>
      </c>
      <c r="E474" s="44"/>
      <c r="F474" s="45" t="str">
        <f t="shared" si="23"/>
        <v/>
      </c>
      <c r="G474" s="56" t="str">
        <f t="shared" si="24"/>
        <v/>
      </c>
      <c r="H474" s="73"/>
      <c r="I474" s="73"/>
      <c r="J474" s="112" t="str">
        <f t="shared" si="25"/>
        <v/>
      </c>
      <c r="K474" s="68"/>
    </row>
    <row r="475" spans="1:11" x14ac:dyDescent="0.2">
      <c r="A475" s="108"/>
      <c r="B475" s="72" t="str">
        <f>IF(A475&lt;&gt;"",'EDC - PARAMETRAGE'!$A$3,"")</f>
        <v/>
      </c>
      <c r="C475" s="72" t="str">
        <f>IF(A475&lt;&gt;"",VLOOKUP(A475,'EDC - PRODUCTION'!$A$7:$E$49,5,FALSE),"")</f>
        <v/>
      </c>
      <c r="D475" s="72" t="str">
        <f>IF(A475&lt;&gt;"",VLOOKUP(A475,'EDC - PRODUCTION'!$A$7:$I$49,4,FALSE),"")</f>
        <v/>
      </c>
      <c r="E475" s="44"/>
      <c r="F475" s="45" t="str">
        <f t="shared" si="23"/>
        <v/>
      </c>
      <c r="G475" s="56" t="str">
        <f t="shared" si="24"/>
        <v/>
      </c>
      <c r="H475" s="73"/>
      <c r="I475" s="73"/>
      <c r="J475" s="112" t="str">
        <f t="shared" si="25"/>
        <v/>
      </c>
      <c r="K475" s="68"/>
    </row>
    <row r="476" spans="1:11" x14ac:dyDescent="0.2">
      <c r="A476" s="108"/>
      <c r="B476" s="72" t="str">
        <f>IF(A476&lt;&gt;"",'EDC - PARAMETRAGE'!$A$3,"")</f>
        <v/>
      </c>
      <c r="C476" s="72" t="str">
        <f>IF(A476&lt;&gt;"",VLOOKUP(A476,'EDC - PRODUCTION'!$A$7:$E$49,5,FALSE),"")</f>
        <v/>
      </c>
      <c r="D476" s="72" t="str">
        <f>IF(A476&lt;&gt;"",VLOOKUP(A476,'EDC - PRODUCTION'!$A$7:$I$49,4,FALSE),"")</f>
        <v/>
      </c>
      <c r="E476" s="44"/>
      <c r="F476" s="45" t="str">
        <f t="shared" si="23"/>
        <v/>
      </c>
      <c r="G476" s="56" t="str">
        <f t="shared" si="24"/>
        <v/>
      </c>
      <c r="H476" s="73"/>
      <c r="I476" s="73"/>
      <c r="J476" s="112" t="str">
        <f t="shared" si="25"/>
        <v/>
      </c>
      <c r="K476" s="68"/>
    </row>
    <row r="477" spans="1:11" x14ac:dyDescent="0.2">
      <c r="A477" s="108"/>
      <c r="B477" s="72" t="str">
        <f>IF(A477&lt;&gt;"",'EDC - PARAMETRAGE'!$A$3,"")</f>
        <v/>
      </c>
      <c r="C477" s="72" t="str">
        <f>IF(A477&lt;&gt;"",VLOOKUP(A477,'EDC - PRODUCTION'!$A$7:$E$49,5,FALSE),"")</f>
        <v/>
      </c>
      <c r="D477" s="72" t="str">
        <f>IF(A477&lt;&gt;"",VLOOKUP(A477,'EDC - PRODUCTION'!$A$7:$I$49,4,FALSE),"")</f>
        <v/>
      </c>
      <c r="E477" s="44"/>
      <c r="F477" s="45" t="str">
        <f t="shared" si="23"/>
        <v/>
      </c>
      <c r="G477" s="56" t="str">
        <f t="shared" si="24"/>
        <v/>
      </c>
      <c r="H477" s="73"/>
      <c r="I477" s="73"/>
      <c r="J477" s="112" t="str">
        <f t="shared" si="25"/>
        <v/>
      </c>
      <c r="K477" s="68"/>
    </row>
    <row r="478" spans="1:11" x14ac:dyDescent="0.2">
      <c r="A478" s="108"/>
      <c r="B478" s="72" t="str">
        <f>IF(A478&lt;&gt;"",'EDC - PARAMETRAGE'!$A$3,"")</f>
        <v/>
      </c>
      <c r="C478" s="72" t="str">
        <f>IF(A478&lt;&gt;"",VLOOKUP(A478,'EDC - PRODUCTION'!$A$7:$E$49,5,FALSE),"")</f>
        <v/>
      </c>
      <c r="D478" s="72" t="str">
        <f>IF(A478&lt;&gt;"",VLOOKUP(A478,'EDC - PRODUCTION'!$A$7:$I$49,4,FALSE),"")</f>
        <v/>
      </c>
      <c r="E478" s="44"/>
      <c r="F478" s="45" t="str">
        <f t="shared" si="23"/>
        <v/>
      </c>
      <c r="G478" s="56" t="str">
        <f t="shared" si="24"/>
        <v/>
      </c>
      <c r="H478" s="73"/>
      <c r="I478" s="73"/>
      <c r="J478" s="112" t="str">
        <f t="shared" si="25"/>
        <v/>
      </c>
      <c r="K478" s="68"/>
    </row>
    <row r="479" spans="1:11" x14ac:dyDescent="0.2">
      <c r="A479" s="108"/>
      <c r="B479" s="72" t="str">
        <f>IF(A479&lt;&gt;"",'EDC - PARAMETRAGE'!$A$3,"")</f>
        <v/>
      </c>
      <c r="C479" s="72" t="str">
        <f>IF(A479&lt;&gt;"",VLOOKUP(A479,'EDC - PRODUCTION'!$A$7:$E$49,5,FALSE),"")</f>
        <v/>
      </c>
      <c r="D479" s="72" t="str">
        <f>IF(A479&lt;&gt;"",VLOOKUP(A479,'EDC - PRODUCTION'!$A$7:$I$49,4,FALSE),"")</f>
        <v/>
      </c>
      <c r="E479" s="44"/>
      <c r="F479" s="45" t="str">
        <f t="shared" si="23"/>
        <v/>
      </c>
      <c r="G479" s="56" t="str">
        <f t="shared" si="24"/>
        <v/>
      </c>
      <c r="H479" s="73"/>
      <c r="I479" s="73"/>
      <c r="J479" s="112" t="str">
        <f t="shared" si="25"/>
        <v/>
      </c>
      <c r="K479" s="68"/>
    </row>
    <row r="480" spans="1:11" x14ac:dyDescent="0.2">
      <c r="A480" s="108"/>
      <c r="B480" s="72" t="str">
        <f>IF(A480&lt;&gt;"",'EDC - PARAMETRAGE'!$A$3,"")</f>
        <v/>
      </c>
      <c r="C480" s="72" t="str">
        <f>IF(A480&lt;&gt;"",VLOOKUP(A480,'EDC - PRODUCTION'!$A$7:$E$49,5,FALSE),"")</f>
        <v/>
      </c>
      <c r="D480" s="72" t="str">
        <f>IF(A480&lt;&gt;"",VLOOKUP(A480,'EDC - PRODUCTION'!$A$7:$I$49,4,FALSE),"")</f>
        <v/>
      </c>
      <c r="E480" s="44"/>
      <c r="F480" s="45" t="str">
        <f t="shared" si="23"/>
        <v/>
      </c>
      <c r="G480" s="56" t="str">
        <f t="shared" si="24"/>
        <v/>
      </c>
      <c r="H480" s="73"/>
      <c r="I480" s="73"/>
      <c r="J480" s="112" t="str">
        <f t="shared" si="25"/>
        <v/>
      </c>
      <c r="K480" s="68"/>
    </row>
    <row r="481" spans="1:11" x14ac:dyDescent="0.2">
      <c r="A481" s="108"/>
      <c r="B481" s="72" t="str">
        <f>IF(A481&lt;&gt;"",'EDC - PARAMETRAGE'!$A$3,"")</f>
        <v/>
      </c>
      <c r="C481" s="72" t="str">
        <f>IF(A481&lt;&gt;"",VLOOKUP(A481,'EDC - PRODUCTION'!$A$7:$E$49,5,FALSE),"")</f>
        <v/>
      </c>
      <c r="D481" s="72" t="str">
        <f>IF(A481&lt;&gt;"",VLOOKUP(A481,'EDC - PRODUCTION'!$A$7:$I$49,4,FALSE),"")</f>
        <v/>
      </c>
      <c r="E481" s="44"/>
      <c r="F481" s="45" t="str">
        <f t="shared" si="23"/>
        <v/>
      </c>
      <c r="G481" s="56" t="str">
        <f t="shared" si="24"/>
        <v/>
      </c>
      <c r="H481" s="73"/>
      <c r="I481" s="73"/>
      <c r="J481" s="112" t="str">
        <f t="shared" si="25"/>
        <v/>
      </c>
      <c r="K481" s="68"/>
    </row>
    <row r="482" spans="1:11" x14ac:dyDescent="0.2">
      <c r="A482" s="108"/>
      <c r="B482" s="72" t="str">
        <f>IF(A482&lt;&gt;"",'EDC - PARAMETRAGE'!$A$3,"")</f>
        <v/>
      </c>
      <c r="C482" s="72" t="str">
        <f>IF(A482&lt;&gt;"",VLOOKUP(A482,'EDC - PRODUCTION'!$A$7:$E$49,5,FALSE),"")</f>
        <v/>
      </c>
      <c r="D482" s="72" t="str">
        <f>IF(A482&lt;&gt;"",VLOOKUP(A482,'EDC - PRODUCTION'!$A$7:$I$49,4,FALSE),"")</f>
        <v/>
      </c>
      <c r="E482" s="44"/>
      <c r="F482" s="45" t="str">
        <f t="shared" si="23"/>
        <v/>
      </c>
      <c r="G482" s="56" t="str">
        <f t="shared" si="24"/>
        <v/>
      </c>
      <c r="H482" s="73"/>
      <c r="I482" s="73"/>
      <c r="J482" s="112" t="str">
        <f t="shared" si="25"/>
        <v/>
      </c>
      <c r="K482" s="68"/>
    </row>
    <row r="483" spans="1:11" x14ac:dyDescent="0.2">
      <c r="A483" s="108"/>
      <c r="B483" s="72" t="str">
        <f>IF(A483&lt;&gt;"",'EDC - PARAMETRAGE'!$A$3,"")</f>
        <v/>
      </c>
      <c r="C483" s="72" t="str">
        <f>IF(A483&lt;&gt;"",VLOOKUP(A483,'EDC - PRODUCTION'!$A$7:$E$49,5,FALSE),"")</f>
        <v/>
      </c>
      <c r="D483" s="72" t="str">
        <f>IF(A483&lt;&gt;"",VLOOKUP(A483,'EDC - PRODUCTION'!$A$7:$I$49,4,FALSE),"")</f>
        <v/>
      </c>
      <c r="E483" s="44"/>
      <c r="F483" s="45" t="str">
        <f t="shared" si="23"/>
        <v/>
      </c>
      <c r="G483" s="56" t="str">
        <f t="shared" si="24"/>
        <v/>
      </c>
      <c r="H483" s="73"/>
      <c r="I483" s="73"/>
      <c r="J483" s="112" t="str">
        <f t="shared" si="25"/>
        <v/>
      </c>
      <c r="K483" s="68"/>
    </row>
    <row r="484" spans="1:11" x14ac:dyDescent="0.2">
      <c r="A484" s="108"/>
      <c r="B484" s="72" t="str">
        <f>IF(A484&lt;&gt;"",'EDC - PARAMETRAGE'!$A$3,"")</f>
        <v/>
      </c>
      <c r="C484" s="72" t="str">
        <f>IF(A484&lt;&gt;"",VLOOKUP(A484,'EDC - PRODUCTION'!$A$7:$E$49,5,FALSE),"")</f>
        <v/>
      </c>
      <c r="D484" s="72" t="str">
        <f>IF(A484&lt;&gt;"",VLOOKUP(A484,'EDC - PRODUCTION'!$A$7:$I$49,4,FALSE),"")</f>
        <v/>
      </c>
      <c r="E484" s="44"/>
      <c r="F484" s="45" t="str">
        <f t="shared" si="23"/>
        <v/>
      </c>
      <c r="G484" s="56" t="str">
        <f t="shared" si="24"/>
        <v/>
      </c>
      <c r="H484" s="73"/>
      <c r="I484" s="73"/>
      <c r="J484" s="112" t="str">
        <f t="shared" si="25"/>
        <v/>
      </c>
      <c r="K484" s="68"/>
    </row>
    <row r="485" spans="1:11" x14ac:dyDescent="0.2">
      <c r="A485" s="108"/>
      <c r="B485" s="72" t="str">
        <f>IF(A485&lt;&gt;"",'EDC - PARAMETRAGE'!$A$3,"")</f>
        <v/>
      </c>
      <c r="C485" s="72" t="str">
        <f>IF(A485&lt;&gt;"",VLOOKUP(A485,'EDC - PRODUCTION'!$A$7:$E$49,5,FALSE),"")</f>
        <v/>
      </c>
      <c r="D485" s="72" t="str">
        <f>IF(A485&lt;&gt;"",VLOOKUP(A485,'EDC - PRODUCTION'!$A$7:$I$49,4,FALSE),"")</f>
        <v/>
      </c>
      <c r="E485" s="44"/>
      <c r="F485" s="45" t="str">
        <f t="shared" si="23"/>
        <v/>
      </c>
      <c r="G485" s="56" t="str">
        <f t="shared" si="24"/>
        <v/>
      </c>
      <c r="H485" s="73"/>
      <c r="I485" s="73"/>
      <c r="J485" s="112" t="str">
        <f t="shared" si="25"/>
        <v/>
      </c>
      <c r="K485" s="68"/>
    </row>
    <row r="486" spans="1:11" x14ac:dyDescent="0.2">
      <c r="A486" s="108"/>
      <c r="B486" s="72" t="str">
        <f>IF(A486&lt;&gt;"",'EDC - PARAMETRAGE'!$A$3,"")</f>
        <v/>
      </c>
      <c r="C486" s="72" t="str">
        <f>IF(A486&lt;&gt;"",VLOOKUP(A486,'EDC - PRODUCTION'!$A$7:$E$49,5,FALSE),"")</f>
        <v/>
      </c>
      <c r="D486" s="72" t="str">
        <f>IF(A486&lt;&gt;"",VLOOKUP(A486,'EDC - PRODUCTION'!$A$7:$I$49,4,FALSE),"")</f>
        <v/>
      </c>
      <c r="E486" s="44"/>
      <c r="F486" s="45" t="str">
        <f t="shared" si="23"/>
        <v/>
      </c>
      <c r="G486" s="56" t="str">
        <f t="shared" si="24"/>
        <v/>
      </c>
      <c r="H486" s="73"/>
      <c r="I486" s="73"/>
      <c r="J486" s="112" t="str">
        <f t="shared" si="25"/>
        <v/>
      </c>
      <c r="K486" s="68"/>
    </row>
    <row r="487" spans="1:11" x14ac:dyDescent="0.2">
      <c r="A487" s="108"/>
      <c r="B487" s="72" t="str">
        <f>IF(A487&lt;&gt;"",'EDC - PARAMETRAGE'!$A$3,"")</f>
        <v/>
      </c>
      <c r="C487" s="72" t="str">
        <f>IF(A487&lt;&gt;"",VLOOKUP(A487,'EDC - PRODUCTION'!$A$7:$E$49,5,FALSE),"")</f>
        <v/>
      </c>
      <c r="D487" s="72" t="str">
        <f>IF(A487&lt;&gt;"",VLOOKUP(A487,'EDC - PRODUCTION'!$A$7:$I$49,4,FALSE),"")</f>
        <v/>
      </c>
      <c r="E487" s="44"/>
      <c r="F487" s="45" t="str">
        <f t="shared" si="23"/>
        <v/>
      </c>
      <c r="G487" s="56" t="str">
        <f t="shared" si="24"/>
        <v/>
      </c>
      <c r="H487" s="73"/>
      <c r="I487" s="73"/>
      <c r="J487" s="112" t="str">
        <f t="shared" si="25"/>
        <v/>
      </c>
      <c r="K487" s="68"/>
    </row>
    <row r="488" spans="1:11" x14ac:dyDescent="0.2">
      <c r="A488" s="108"/>
      <c r="B488" s="72" t="str">
        <f>IF(A488&lt;&gt;"",'EDC - PARAMETRAGE'!$A$3,"")</f>
        <v/>
      </c>
      <c r="C488" s="72" t="str">
        <f>IF(A488&lt;&gt;"",VLOOKUP(A488,'EDC - PRODUCTION'!$A$7:$E$49,5,FALSE),"")</f>
        <v/>
      </c>
      <c r="D488" s="72" t="str">
        <f>IF(A488&lt;&gt;"",VLOOKUP(A488,'EDC - PRODUCTION'!$A$7:$I$49,4,FALSE),"")</f>
        <v/>
      </c>
      <c r="E488" s="44"/>
      <c r="F488" s="45" t="str">
        <f t="shared" si="23"/>
        <v/>
      </c>
      <c r="G488" s="56" t="str">
        <f t="shared" si="24"/>
        <v/>
      </c>
      <c r="H488" s="73"/>
      <c r="I488" s="73"/>
      <c r="J488" s="112" t="str">
        <f t="shared" si="25"/>
        <v/>
      </c>
      <c r="K488" s="68"/>
    </row>
    <row r="489" spans="1:11" x14ac:dyDescent="0.2">
      <c r="A489" s="108"/>
      <c r="B489" s="72" t="str">
        <f>IF(A489&lt;&gt;"",'EDC - PARAMETRAGE'!$A$3,"")</f>
        <v/>
      </c>
      <c r="C489" s="72" t="str">
        <f>IF(A489&lt;&gt;"",VLOOKUP(A489,'EDC - PRODUCTION'!$A$7:$E$49,5,FALSE),"")</f>
        <v/>
      </c>
      <c r="D489" s="72" t="str">
        <f>IF(A489&lt;&gt;"",VLOOKUP(A489,'EDC - PRODUCTION'!$A$7:$I$49,4,FALSE),"")</f>
        <v/>
      </c>
      <c r="E489" s="44"/>
      <c r="F489" s="45" t="str">
        <f t="shared" si="23"/>
        <v/>
      </c>
      <c r="G489" s="56" t="str">
        <f t="shared" si="24"/>
        <v/>
      </c>
      <c r="H489" s="73"/>
      <c r="I489" s="73"/>
      <c r="J489" s="112" t="str">
        <f t="shared" si="25"/>
        <v/>
      </c>
      <c r="K489" s="68"/>
    </row>
    <row r="490" spans="1:11" x14ac:dyDescent="0.2">
      <c r="A490" s="108"/>
      <c r="B490" s="72" t="str">
        <f>IF(A490&lt;&gt;"",'EDC - PARAMETRAGE'!$A$3,"")</f>
        <v/>
      </c>
      <c r="C490" s="72" t="str">
        <f>IF(A490&lt;&gt;"",VLOOKUP(A490,'EDC - PRODUCTION'!$A$7:$E$49,5,FALSE),"")</f>
        <v/>
      </c>
      <c r="D490" s="72" t="str">
        <f>IF(A490&lt;&gt;"",VLOOKUP(A490,'EDC - PRODUCTION'!$A$7:$I$49,4,FALSE),"")</f>
        <v/>
      </c>
      <c r="E490" s="44"/>
      <c r="F490" s="45" t="str">
        <f t="shared" si="23"/>
        <v/>
      </c>
      <c r="G490" s="56" t="str">
        <f t="shared" si="24"/>
        <v/>
      </c>
      <c r="H490" s="73"/>
      <c r="I490" s="73"/>
      <c r="J490" s="112" t="str">
        <f t="shared" si="25"/>
        <v/>
      </c>
      <c r="K490" s="68"/>
    </row>
    <row r="491" spans="1:11" x14ac:dyDescent="0.2">
      <c r="A491" s="108"/>
      <c r="B491" s="72" t="str">
        <f>IF(A491&lt;&gt;"",'EDC - PARAMETRAGE'!$A$3,"")</f>
        <v/>
      </c>
      <c r="C491" s="72" t="str">
        <f>IF(A491&lt;&gt;"",VLOOKUP(A491,'EDC - PRODUCTION'!$A$7:$E$49,5,FALSE),"")</f>
        <v/>
      </c>
      <c r="D491" s="72" t="str">
        <f>IF(A491&lt;&gt;"",VLOOKUP(A491,'EDC - PRODUCTION'!$A$7:$I$49,4,FALSE),"")</f>
        <v/>
      </c>
      <c r="E491" s="44"/>
      <c r="F491" s="45" t="str">
        <f t="shared" si="23"/>
        <v/>
      </c>
      <c r="G491" s="56" t="str">
        <f t="shared" si="24"/>
        <v/>
      </c>
      <c r="H491" s="73"/>
      <c r="I491" s="73"/>
      <c r="J491" s="112" t="str">
        <f t="shared" si="25"/>
        <v/>
      </c>
      <c r="K491" s="68"/>
    </row>
    <row r="492" spans="1:11" x14ac:dyDescent="0.2">
      <c r="A492" s="108"/>
      <c r="B492" s="72" t="str">
        <f>IF(A492&lt;&gt;"",'EDC - PARAMETRAGE'!$A$3,"")</f>
        <v/>
      </c>
      <c r="C492" s="72" t="str">
        <f>IF(A492&lt;&gt;"",VLOOKUP(A492,'EDC - PRODUCTION'!$A$7:$E$49,5,FALSE),"")</f>
        <v/>
      </c>
      <c r="D492" s="72" t="str">
        <f>IF(A492&lt;&gt;"",VLOOKUP(A492,'EDC - PRODUCTION'!$A$7:$I$49,4,FALSE),"")</f>
        <v/>
      </c>
      <c r="E492" s="44"/>
      <c r="F492" s="45" t="str">
        <f t="shared" si="23"/>
        <v/>
      </c>
      <c r="G492" s="56" t="str">
        <f t="shared" si="24"/>
        <v/>
      </c>
      <c r="H492" s="73"/>
      <c r="I492" s="73"/>
      <c r="J492" s="112" t="str">
        <f t="shared" si="25"/>
        <v/>
      </c>
      <c r="K492" s="68"/>
    </row>
    <row r="493" spans="1:11" x14ac:dyDescent="0.2">
      <c r="A493" s="108"/>
      <c r="B493" s="72" t="str">
        <f>IF(A493&lt;&gt;"",'EDC - PARAMETRAGE'!$A$3,"")</f>
        <v/>
      </c>
      <c r="C493" s="72" t="str">
        <f>IF(A493&lt;&gt;"",VLOOKUP(A493,'EDC - PRODUCTION'!$A$7:$E$49,5,FALSE),"")</f>
        <v/>
      </c>
      <c r="D493" s="72" t="str">
        <f>IF(A493&lt;&gt;"",VLOOKUP(A493,'EDC - PRODUCTION'!$A$7:$I$49,4,FALSE),"")</f>
        <v/>
      </c>
      <c r="E493" s="44"/>
      <c r="F493" s="45" t="str">
        <f t="shared" si="23"/>
        <v/>
      </c>
      <c r="G493" s="56" t="str">
        <f t="shared" si="24"/>
        <v/>
      </c>
      <c r="H493" s="73"/>
      <c r="I493" s="73"/>
      <c r="J493" s="112" t="str">
        <f t="shared" si="25"/>
        <v/>
      </c>
      <c r="K493" s="68"/>
    </row>
    <row r="494" spans="1:11" x14ac:dyDescent="0.2">
      <c r="A494" s="108"/>
      <c r="B494" s="72" t="str">
        <f>IF(A494&lt;&gt;"",'EDC - PARAMETRAGE'!$A$3,"")</f>
        <v/>
      </c>
      <c r="C494" s="72" t="str">
        <f>IF(A494&lt;&gt;"",VLOOKUP(A494,'EDC - PRODUCTION'!$A$7:$E$49,5,FALSE),"")</f>
        <v/>
      </c>
      <c r="D494" s="72" t="str">
        <f>IF(A494&lt;&gt;"",VLOOKUP(A494,'EDC - PRODUCTION'!$A$7:$I$49,4,FALSE),"")</f>
        <v/>
      </c>
      <c r="E494" s="44"/>
      <c r="F494" s="45" t="str">
        <f t="shared" si="23"/>
        <v/>
      </c>
      <c r="G494" s="56" t="str">
        <f t="shared" si="24"/>
        <v/>
      </c>
      <c r="H494" s="73"/>
      <c r="I494" s="73"/>
      <c r="J494" s="112" t="str">
        <f t="shared" si="25"/>
        <v/>
      </c>
      <c r="K494" s="68"/>
    </row>
    <row r="495" spans="1:11" x14ac:dyDescent="0.2">
      <c r="A495" s="108"/>
      <c r="B495" s="72" t="str">
        <f>IF(A495&lt;&gt;"",'EDC - PARAMETRAGE'!$A$3,"")</f>
        <v/>
      </c>
      <c r="C495" s="72" t="str">
        <f>IF(A495&lt;&gt;"",VLOOKUP(A495,'EDC - PRODUCTION'!$A$7:$E$49,5,FALSE),"")</f>
        <v/>
      </c>
      <c r="D495" s="72" t="str">
        <f>IF(A495&lt;&gt;"",VLOOKUP(A495,'EDC - PRODUCTION'!$A$7:$I$49,4,FALSE),"")</f>
        <v/>
      </c>
      <c r="E495" s="44"/>
      <c r="F495" s="45" t="str">
        <f t="shared" si="23"/>
        <v/>
      </c>
      <c r="G495" s="56" t="str">
        <f t="shared" si="24"/>
        <v/>
      </c>
      <c r="H495" s="73"/>
      <c r="I495" s="73"/>
      <c r="J495" s="112" t="str">
        <f t="shared" si="25"/>
        <v/>
      </c>
      <c r="K495" s="68"/>
    </row>
    <row r="496" spans="1:11" x14ac:dyDescent="0.2">
      <c r="A496" s="108"/>
      <c r="B496" s="72" t="str">
        <f>IF(A496&lt;&gt;"",'EDC - PARAMETRAGE'!$A$3,"")</f>
        <v/>
      </c>
      <c r="C496" s="72" t="str">
        <f>IF(A496&lt;&gt;"",VLOOKUP(A496,'EDC - PRODUCTION'!$A$7:$E$49,5,FALSE),"")</f>
        <v/>
      </c>
      <c r="D496" s="72" t="str">
        <f>IF(A496&lt;&gt;"",VLOOKUP(A496,'EDC - PRODUCTION'!$A$7:$I$49,4,FALSE),"")</f>
        <v/>
      </c>
      <c r="E496" s="44"/>
      <c r="F496" s="45" t="str">
        <f t="shared" si="23"/>
        <v/>
      </c>
      <c r="G496" s="56" t="str">
        <f t="shared" si="24"/>
        <v/>
      </c>
      <c r="H496" s="73"/>
      <c r="I496" s="73"/>
      <c r="J496" s="112" t="str">
        <f t="shared" si="25"/>
        <v/>
      </c>
      <c r="K496" s="68"/>
    </row>
    <row r="497" spans="1:11" x14ac:dyDescent="0.2">
      <c r="A497" s="108"/>
      <c r="B497" s="72" t="str">
        <f>IF(A497&lt;&gt;"",'EDC - PARAMETRAGE'!$A$3,"")</f>
        <v/>
      </c>
      <c r="C497" s="72" t="str">
        <f>IF(A497&lt;&gt;"",VLOOKUP(A497,'EDC - PRODUCTION'!$A$7:$E$49,5,FALSE),"")</f>
        <v/>
      </c>
      <c r="D497" s="72" t="str">
        <f>IF(A497&lt;&gt;"",VLOOKUP(A497,'EDC - PRODUCTION'!$A$7:$I$49,4,FALSE),"")</f>
        <v/>
      </c>
      <c r="E497" s="44"/>
      <c r="F497" s="45" t="str">
        <f t="shared" si="23"/>
        <v/>
      </c>
      <c r="G497" s="56" t="str">
        <f t="shared" si="24"/>
        <v/>
      </c>
      <c r="H497" s="73"/>
      <c r="I497" s="73"/>
      <c r="J497" s="112" t="str">
        <f t="shared" si="25"/>
        <v/>
      </c>
      <c r="K497" s="68"/>
    </row>
    <row r="498" spans="1:11" x14ac:dyDescent="0.2">
      <c r="A498" s="108"/>
      <c r="B498" s="72" t="str">
        <f>IF(A498&lt;&gt;"",'EDC - PARAMETRAGE'!$A$3,"")</f>
        <v/>
      </c>
      <c r="C498" s="72" t="str">
        <f>IF(A498&lt;&gt;"",VLOOKUP(A498,'EDC - PRODUCTION'!$A$7:$E$49,5,FALSE),"")</f>
        <v/>
      </c>
      <c r="D498" s="72" t="str">
        <f>IF(A498&lt;&gt;"",VLOOKUP(A498,'EDC - PRODUCTION'!$A$7:$I$49,4,FALSE),"")</f>
        <v/>
      </c>
      <c r="E498" s="44"/>
      <c r="F498" s="45" t="str">
        <f t="shared" si="23"/>
        <v/>
      </c>
      <c r="G498" s="56" t="str">
        <f t="shared" si="24"/>
        <v/>
      </c>
      <c r="H498" s="73"/>
      <c r="I498" s="73"/>
      <c r="J498" s="112" t="str">
        <f t="shared" si="25"/>
        <v/>
      </c>
      <c r="K498" s="68"/>
    </row>
    <row r="499" spans="1:11" x14ac:dyDescent="0.2">
      <c r="A499" s="108"/>
      <c r="B499" s="72" t="str">
        <f>IF(A499&lt;&gt;"",'EDC - PARAMETRAGE'!$A$3,"")</f>
        <v/>
      </c>
      <c r="C499" s="72" t="str">
        <f>IF(A499&lt;&gt;"",VLOOKUP(A499,'EDC - PRODUCTION'!$A$7:$E$49,5,FALSE),"")</f>
        <v/>
      </c>
      <c r="D499" s="72" t="str">
        <f>IF(A499&lt;&gt;"",VLOOKUP(A499,'EDC - PRODUCTION'!$A$7:$I$49,4,FALSE),"")</f>
        <v/>
      </c>
      <c r="E499" s="44"/>
      <c r="F499" s="45" t="str">
        <f t="shared" si="23"/>
        <v/>
      </c>
      <c r="G499" s="56" t="str">
        <f t="shared" si="24"/>
        <v/>
      </c>
      <c r="H499" s="73"/>
      <c r="I499" s="73"/>
      <c r="J499" s="112" t="str">
        <f t="shared" si="25"/>
        <v/>
      </c>
      <c r="K499" s="68"/>
    </row>
    <row r="500" spans="1:11" x14ac:dyDescent="0.2">
      <c r="A500" s="108"/>
      <c r="B500" s="72" t="str">
        <f>IF(A500&lt;&gt;"",'EDC - PARAMETRAGE'!$A$3,"")</f>
        <v/>
      </c>
      <c r="C500" s="72" t="str">
        <f>IF(A500&lt;&gt;"",VLOOKUP(A500,'EDC - PRODUCTION'!$A$7:$E$49,5,FALSE),"")</f>
        <v/>
      </c>
      <c r="D500" s="72" t="str">
        <f>IF(A500&lt;&gt;"",VLOOKUP(A500,'EDC - PRODUCTION'!$A$7:$I$49,4,FALSE),"")</f>
        <v/>
      </c>
      <c r="E500" s="44"/>
      <c r="F500" s="45" t="str">
        <f t="shared" si="23"/>
        <v/>
      </c>
      <c r="G500" s="56" t="str">
        <f t="shared" si="24"/>
        <v/>
      </c>
      <c r="H500" s="73"/>
      <c r="I500" s="73"/>
      <c r="J500" s="112" t="str">
        <f t="shared" si="25"/>
        <v/>
      </c>
      <c r="K500" s="68"/>
    </row>
    <row r="501" spans="1:11" x14ac:dyDescent="0.2">
      <c r="A501" s="108"/>
      <c r="B501" s="72" t="str">
        <f>IF(A501&lt;&gt;"",'EDC - PARAMETRAGE'!$A$3,"")</f>
        <v/>
      </c>
      <c r="C501" s="72" t="str">
        <f>IF(A501&lt;&gt;"",VLOOKUP(A501,'EDC - PRODUCTION'!$A$7:$E$49,5,FALSE),"")</f>
        <v/>
      </c>
      <c r="D501" s="72" t="str">
        <f>IF(A501&lt;&gt;"",VLOOKUP(A501,'EDC - PRODUCTION'!$A$7:$I$49,4,FALSE),"")</f>
        <v/>
      </c>
      <c r="E501" s="44"/>
      <c r="F501" s="45" t="str">
        <f t="shared" si="23"/>
        <v/>
      </c>
      <c r="G501" s="56" t="str">
        <f t="shared" si="24"/>
        <v/>
      </c>
      <c r="H501" s="73"/>
      <c r="I501" s="73"/>
      <c r="J501" s="112" t="str">
        <f t="shared" si="25"/>
        <v/>
      </c>
      <c r="K501" s="68"/>
    </row>
    <row r="502" spans="1:11" x14ac:dyDescent="0.2">
      <c r="A502" s="108"/>
      <c r="B502" s="72" t="str">
        <f>IF(A502&lt;&gt;"",'EDC - PARAMETRAGE'!$A$3,"")</f>
        <v/>
      </c>
      <c r="C502" s="72" t="str">
        <f>IF(A502&lt;&gt;"",VLOOKUP(A502,'EDC - PRODUCTION'!$A$7:$E$49,5,FALSE),"")</f>
        <v/>
      </c>
      <c r="D502" s="72" t="str">
        <f>IF(A502&lt;&gt;"",VLOOKUP(A502,'EDC - PRODUCTION'!$A$7:$I$49,4,FALSE),"")</f>
        <v/>
      </c>
      <c r="E502" s="44"/>
      <c r="F502" s="45" t="str">
        <f t="shared" si="23"/>
        <v/>
      </c>
      <c r="G502" s="56" t="str">
        <f t="shared" si="24"/>
        <v/>
      </c>
      <c r="H502" s="73"/>
      <c r="I502" s="73"/>
      <c r="J502" s="112" t="str">
        <f t="shared" si="25"/>
        <v/>
      </c>
      <c r="K502" s="68"/>
    </row>
    <row r="503" spans="1:11" x14ac:dyDescent="0.2">
      <c r="A503" s="108"/>
      <c r="B503" s="72" t="str">
        <f>IF(A503&lt;&gt;"",'EDC - PARAMETRAGE'!$A$3,"")</f>
        <v/>
      </c>
      <c r="C503" s="72" t="str">
        <f>IF(A503&lt;&gt;"",VLOOKUP(A503,'EDC - PRODUCTION'!$A$7:$E$49,5,FALSE),"")</f>
        <v/>
      </c>
      <c r="D503" s="72" t="str">
        <f>IF(A503&lt;&gt;"",VLOOKUP(A503,'EDC - PRODUCTION'!$A$7:$I$49,4,FALSE),"")</f>
        <v/>
      </c>
      <c r="E503" s="44"/>
      <c r="F503" s="45" t="str">
        <f t="shared" si="23"/>
        <v/>
      </c>
      <c r="G503" s="56" t="str">
        <f t="shared" si="24"/>
        <v/>
      </c>
      <c r="H503" s="73"/>
      <c r="I503" s="73"/>
      <c r="J503" s="112" t="str">
        <f t="shared" si="25"/>
        <v/>
      </c>
      <c r="K503" s="68"/>
    </row>
    <row r="504" spans="1:11" x14ac:dyDescent="0.2">
      <c r="A504" s="108"/>
      <c r="B504" s="72" t="str">
        <f>IF(A504&lt;&gt;"",'EDC - PARAMETRAGE'!$A$3,"")</f>
        <v/>
      </c>
      <c r="C504" s="72" t="str">
        <f>IF(A504&lt;&gt;"",VLOOKUP(A504,'EDC - PRODUCTION'!$A$7:$E$49,5,FALSE),"")</f>
        <v/>
      </c>
      <c r="D504" s="72" t="str">
        <f>IF(A504&lt;&gt;"",VLOOKUP(A504,'EDC - PRODUCTION'!$A$7:$I$49,4,FALSE),"")</f>
        <v/>
      </c>
      <c r="E504" s="44"/>
      <c r="F504" s="45" t="str">
        <f t="shared" si="23"/>
        <v/>
      </c>
      <c r="G504" s="56" t="str">
        <f t="shared" si="24"/>
        <v/>
      </c>
      <c r="H504" s="73"/>
      <c r="I504" s="73"/>
      <c r="J504" s="112" t="str">
        <f t="shared" si="25"/>
        <v/>
      </c>
      <c r="K504" s="68"/>
    </row>
    <row r="505" spans="1:11" x14ac:dyDescent="0.2">
      <c r="A505" s="108"/>
      <c r="B505" s="72" t="str">
        <f>IF(A505&lt;&gt;"",'EDC - PARAMETRAGE'!$A$3,"")</f>
        <v/>
      </c>
      <c r="C505" s="72" t="str">
        <f>IF(A505&lt;&gt;"",VLOOKUP(A505,'EDC - PRODUCTION'!$A$7:$E$49,5,FALSE),"")</f>
        <v/>
      </c>
      <c r="D505" s="72" t="str">
        <f>IF(A505&lt;&gt;"",VLOOKUP(A505,'EDC - PRODUCTION'!$A$7:$I$49,4,FALSE),"")</f>
        <v/>
      </c>
      <c r="E505" s="44"/>
      <c r="F505" s="45" t="str">
        <f t="shared" si="23"/>
        <v/>
      </c>
      <c r="G505" s="56" t="str">
        <f t="shared" si="24"/>
        <v/>
      </c>
      <c r="H505" s="73"/>
      <c r="I505" s="73"/>
      <c r="J505" s="112" t="str">
        <f t="shared" si="25"/>
        <v/>
      </c>
      <c r="K505" s="68"/>
    </row>
    <row r="506" spans="1:11" x14ac:dyDescent="0.2">
      <c r="A506" s="108"/>
      <c r="B506" s="72" t="str">
        <f>IF(A506&lt;&gt;"",'EDC - PARAMETRAGE'!$A$3,"")</f>
        <v/>
      </c>
      <c r="C506" s="72" t="str">
        <f>IF(A506&lt;&gt;"",VLOOKUP(A506,'EDC - PRODUCTION'!$A$7:$E$49,5,FALSE),"")</f>
        <v/>
      </c>
      <c r="D506" s="72" t="str">
        <f>IF(A506&lt;&gt;"",VLOOKUP(A506,'EDC - PRODUCTION'!$A$7:$I$49,4,FALSE),"")</f>
        <v/>
      </c>
      <c r="E506" s="44"/>
      <c r="F506" s="45" t="str">
        <f t="shared" si="23"/>
        <v/>
      </c>
      <c r="G506" s="56" t="str">
        <f t="shared" si="24"/>
        <v/>
      </c>
      <c r="H506" s="73"/>
      <c r="I506" s="73"/>
      <c r="J506" s="112" t="str">
        <f t="shared" si="25"/>
        <v/>
      </c>
      <c r="K506" s="68"/>
    </row>
    <row r="507" spans="1:11" x14ac:dyDescent="0.2">
      <c r="A507" s="108"/>
      <c r="B507" s="72" t="str">
        <f>IF(A507&lt;&gt;"",'EDC - PARAMETRAGE'!$A$3,"")</f>
        <v/>
      </c>
      <c r="C507" s="72" t="str">
        <f>IF(A507&lt;&gt;"",VLOOKUP(A507,'EDC - PRODUCTION'!$A$7:$E$49,5,FALSE),"")</f>
        <v/>
      </c>
      <c r="D507" s="72" t="str">
        <f>IF(A507&lt;&gt;"",VLOOKUP(A507,'EDC - PRODUCTION'!$A$7:$I$49,4,FALSE),"")</f>
        <v/>
      </c>
      <c r="E507" s="44"/>
      <c r="F507" s="45" t="str">
        <f t="shared" si="23"/>
        <v/>
      </c>
      <c r="G507" s="56" t="str">
        <f t="shared" si="24"/>
        <v/>
      </c>
      <c r="H507" s="73"/>
      <c r="I507" s="73"/>
      <c r="J507" s="112" t="str">
        <f t="shared" si="25"/>
        <v/>
      </c>
      <c r="K507" s="68"/>
    </row>
    <row r="508" spans="1:11" x14ac:dyDescent="0.2">
      <c r="A508" s="108"/>
      <c r="B508" s="72" t="str">
        <f>IF(A508&lt;&gt;"",'EDC - PARAMETRAGE'!$A$3,"")</f>
        <v/>
      </c>
      <c r="C508" s="72" t="str">
        <f>IF(A508&lt;&gt;"",VLOOKUP(A508,'EDC - PRODUCTION'!$A$7:$E$49,5,FALSE),"")</f>
        <v/>
      </c>
      <c r="D508" s="72" t="str">
        <f>IF(A508&lt;&gt;"",VLOOKUP(A508,'EDC - PRODUCTION'!$A$7:$I$49,4,FALSE),"")</f>
        <v/>
      </c>
      <c r="E508" s="44"/>
      <c r="F508" s="45" t="str">
        <f t="shared" si="23"/>
        <v/>
      </c>
      <c r="G508" s="56" t="str">
        <f t="shared" si="24"/>
        <v/>
      </c>
      <c r="H508" s="73"/>
      <c r="I508" s="73"/>
      <c r="J508" s="112" t="str">
        <f t="shared" si="25"/>
        <v/>
      </c>
      <c r="K508" s="68"/>
    </row>
    <row r="509" spans="1:11" x14ac:dyDescent="0.2">
      <c r="A509" s="108"/>
      <c r="B509" s="72" t="str">
        <f>IF(A509&lt;&gt;"",'EDC - PARAMETRAGE'!$A$3,"")</f>
        <v/>
      </c>
      <c r="C509" s="72" t="str">
        <f>IF(A509&lt;&gt;"",VLOOKUP(A509,'EDC - PRODUCTION'!$A$7:$E$49,5,FALSE),"")</f>
        <v/>
      </c>
      <c r="D509" s="72" t="str">
        <f>IF(A509&lt;&gt;"",VLOOKUP(A509,'EDC - PRODUCTION'!$A$7:$I$49,4,FALSE),"")</f>
        <v/>
      </c>
      <c r="E509" s="44"/>
      <c r="F509" s="45" t="str">
        <f t="shared" si="23"/>
        <v/>
      </c>
      <c r="G509" s="56" t="str">
        <f t="shared" si="24"/>
        <v/>
      </c>
      <c r="H509" s="73"/>
      <c r="I509" s="73"/>
      <c r="J509" s="112" t="str">
        <f t="shared" si="25"/>
        <v/>
      </c>
      <c r="K509" s="68"/>
    </row>
    <row r="510" spans="1:11" x14ac:dyDescent="0.2">
      <c r="A510" s="108"/>
      <c r="B510" s="72" t="str">
        <f>IF(A510&lt;&gt;"",'EDC - PARAMETRAGE'!$A$3,"")</f>
        <v/>
      </c>
      <c r="C510" s="72" t="str">
        <f>IF(A510&lt;&gt;"",VLOOKUP(A510,'EDC - PRODUCTION'!$A$7:$E$49,5,FALSE),"")</f>
        <v/>
      </c>
      <c r="D510" s="72" t="str">
        <f>IF(A510&lt;&gt;"",VLOOKUP(A510,'EDC - PRODUCTION'!$A$7:$I$49,4,FALSE),"")</f>
        <v/>
      </c>
      <c r="E510" s="44"/>
      <c r="F510" s="45" t="str">
        <f t="shared" si="23"/>
        <v/>
      </c>
      <c r="G510" s="56" t="str">
        <f t="shared" si="24"/>
        <v/>
      </c>
      <c r="H510" s="73"/>
      <c r="I510" s="73"/>
      <c r="J510" s="112" t="str">
        <f t="shared" si="25"/>
        <v/>
      </c>
      <c r="K510" s="68"/>
    </row>
    <row r="511" spans="1:11" x14ac:dyDescent="0.2">
      <c r="A511" s="108"/>
      <c r="B511" s="72" t="str">
        <f>IF(A511&lt;&gt;"",'EDC - PARAMETRAGE'!$A$3,"")</f>
        <v/>
      </c>
      <c r="C511" s="72" t="str">
        <f>IF(A511&lt;&gt;"",VLOOKUP(A511,'EDC - PRODUCTION'!$A$7:$E$49,5,FALSE),"")</f>
        <v/>
      </c>
      <c r="D511" s="72" t="str">
        <f>IF(A511&lt;&gt;"",VLOOKUP(A511,'EDC - PRODUCTION'!$A$7:$I$49,4,FALSE),"")</f>
        <v/>
      </c>
      <c r="E511" s="44"/>
      <c r="F511" s="45" t="str">
        <f t="shared" si="23"/>
        <v/>
      </c>
      <c r="G511" s="56" t="str">
        <f t="shared" si="24"/>
        <v/>
      </c>
      <c r="H511" s="73"/>
      <c r="I511" s="73"/>
      <c r="J511" s="112" t="str">
        <f t="shared" si="25"/>
        <v/>
      </c>
      <c r="K511" s="68"/>
    </row>
    <row r="512" spans="1:11" x14ac:dyDescent="0.2">
      <c r="A512" s="108"/>
      <c r="B512" s="72" t="str">
        <f>IF(A512&lt;&gt;"",'EDC - PARAMETRAGE'!$A$3,"")</f>
        <v/>
      </c>
      <c r="C512" s="72" t="str">
        <f>IF(A512&lt;&gt;"",VLOOKUP(A512,'EDC - PRODUCTION'!$A$7:$E$49,5,FALSE),"")</f>
        <v/>
      </c>
      <c r="D512" s="72" t="str">
        <f>IF(A512&lt;&gt;"",VLOOKUP(A512,'EDC - PRODUCTION'!$A$7:$I$49,4,FALSE),"")</f>
        <v/>
      </c>
      <c r="E512" s="44"/>
      <c r="F512" s="45" t="str">
        <f t="shared" si="23"/>
        <v/>
      </c>
      <c r="G512" s="56" t="str">
        <f t="shared" si="24"/>
        <v/>
      </c>
      <c r="H512" s="73"/>
      <c r="I512" s="73"/>
      <c r="J512" s="112" t="str">
        <f t="shared" si="25"/>
        <v/>
      </c>
      <c r="K512" s="68"/>
    </row>
    <row r="513" spans="1:11" x14ac:dyDescent="0.2">
      <c r="A513" s="108"/>
      <c r="B513" s="72" t="str">
        <f>IF(A513&lt;&gt;"",'EDC - PARAMETRAGE'!$A$3,"")</f>
        <v/>
      </c>
      <c r="C513" s="72" t="str">
        <f>IF(A513&lt;&gt;"",VLOOKUP(A513,'EDC - PRODUCTION'!$A$7:$E$49,5,FALSE),"")</f>
        <v/>
      </c>
      <c r="D513" s="72" t="str">
        <f>IF(A513&lt;&gt;"",VLOOKUP(A513,'EDC - PRODUCTION'!$A$7:$I$49,4,FALSE),"")</f>
        <v/>
      </c>
      <c r="E513" s="44"/>
      <c r="F513" s="45" t="str">
        <f t="shared" si="23"/>
        <v/>
      </c>
      <c r="G513" s="56" t="str">
        <f t="shared" si="24"/>
        <v/>
      </c>
      <c r="H513" s="73"/>
      <c r="I513" s="73"/>
      <c r="J513" s="112" t="str">
        <f t="shared" si="25"/>
        <v/>
      </c>
      <c r="K513" s="68"/>
    </row>
    <row r="514" spans="1:11" x14ac:dyDescent="0.2">
      <c r="A514" s="108"/>
      <c r="B514" s="72" t="str">
        <f>IF(A514&lt;&gt;"",'EDC - PARAMETRAGE'!$A$3,"")</f>
        <v/>
      </c>
      <c r="C514" s="72" t="str">
        <f>IF(A514&lt;&gt;"",VLOOKUP(A514,'EDC - PRODUCTION'!$A$7:$E$49,5,FALSE),"")</f>
        <v/>
      </c>
      <c r="D514" s="72" t="str">
        <f>IF(A514&lt;&gt;"",VLOOKUP(A514,'EDC - PRODUCTION'!$A$7:$I$49,4,FALSE),"")</f>
        <v/>
      </c>
      <c r="E514" s="44"/>
      <c r="F514" s="45" t="str">
        <f t="shared" si="23"/>
        <v/>
      </c>
      <c r="G514" s="56" t="str">
        <f t="shared" si="24"/>
        <v/>
      </c>
      <c r="H514" s="73"/>
      <c r="I514" s="73"/>
      <c r="J514" s="112" t="str">
        <f t="shared" si="25"/>
        <v/>
      </c>
      <c r="K514" s="68"/>
    </row>
    <row r="515" spans="1:11" x14ac:dyDescent="0.2">
      <c r="A515" s="108"/>
      <c r="B515" s="72" t="str">
        <f>IF(A515&lt;&gt;"",'EDC - PARAMETRAGE'!$A$3,"")</f>
        <v/>
      </c>
      <c r="C515" s="72" t="str">
        <f>IF(A515&lt;&gt;"",VLOOKUP(A515,'EDC - PRODUCTION'!$A$7:$E$49,5,FALSE),"")</f>
        <v/>
      </c>
      <c r="D515" s="72" t="str">
        <f>IF(A515&lt;&gt;"",VLOOKUP(A515,'EDC - PRODUCTION'!$A$7:$I$49,4,FALSE),"")</f>
        <v/>
      </c>
      <c r="E515" s="44"/>
      <c r="F515" s="45" t="str">
        <f t="shared" si="23"/>
        <v/>
      </c>
      <c r="G515" s="56" t="str">
        <f t="shared" si="24"/>
        <v/>
      </c>
      <c r="H515" s="73"/>
      <c r="I515" s="73"/>
      <c r="J515" s="112" t="str">
        <f t="shared" si="25"/>
        <v/>
      </c>
      <c r="K515" s="68"/>
    </row>
    <row r="516" spans="1:11" x14ac:dyDescent="0.2">
      <c r="A516" s="108"/>
      <c r="B516" s="72" t="str">
        <f>IF(A516&lt;&gt;"",'EDC - PARAMETRAGE'!$A$3,"")</f>
        <v/>
      </c>
      <c r="C516" s="72" t="str">
        <f>IF(A516&lt;&gt;"",VLOOKUP(A516,'EDC - PRODUCTION'!$A$7:$E$49,5,FALSE),"")</f>
        <v/>
      </c>
      <c r="D516" s="72" t="str">
        <f>IF(A516&lt;&gt;"",VLOOKUP(A516,'EDC - PRODUCTION'!$A$7:$I$49,4,FALSE),"")</f>
        <v/>
      </c>
      <c r="E516" s="44"/>
      <c r="F516" s="45" t="str">
        <f t="shared" ref="F516:F579" si="26">IF(A516&lt;&gt;"","DDE","")</f>
        <v/>
      </c>
      <c r="G516" s="56" t="str">
        <f t="shared" ref="G516:G579" si="27">IF(A516&lt;&gt;"",1,"")</f>
        <v/>
      </c>
      <c r="H516" s="73"/>
      <c r="I516" s="73"/>
      <c r="J516" s="112" t="str">
        <f t="shared" ref="J516:J579" si="28">IF(A516&lt;&gt;"",SUM(H516:I516),"")</f>
        <v/>
      </c>
      <c r="K516" s="68"/>
    </row>
    <row r="517" spans="1:11" x14ac:dyDescent="0.2">
      <c r="A517" s="108"/>
      <c r="B517" s="72" t="str">
        <f>IF(A517&lt;&gt;"",'EDC - PARAMETRAGE'!$A$3,"")</f>
        <v/>
      </c>
      <c r="C517" s="72" t="str">
        <f>IF(A517&lt;&gt;"",VLOOKUP(A517,'EDC - PRODUCTION'!$A$7:$E$49,5,FALSE),"")</f>
        <v/>
      </c>
      <c r="D517" s="72" t="str">
        <f>IF(A517&lt;&gt;"",VLOOKUP(A517,'EDC - PRODUCTION'!$A$7:$I$49,4,FALSE),"")</f>
        <v/>
      </c>
      <c r="E517" s="44"/>
      <c r="F517" s="45" t="str">
        <f t="shared" si="26"/>
        <v/>
      </c>
      <c r="G517" s="56" t="str">
        <f t="shared" si="27"/>
        <v/>
      </c>
      <c r="H517" s="73"/>
      <c r="I517" s="73"/>
      <c r="J517" s="112" t="str">
        <f t="shared" si="28"/>
        <v/>
      </c>
      <c r="K517" s="68"/>
    </row>
    <row r="518" spans="1:11" x14ac:dyDescent="0.2">
      <c r="A518" s="108"/>
      <c r="B518" s="72" t="str">
        <f>IF(A518&lt;&gt;"",'EDC - PARAMETRAGE'!$A$3,"")</f>
        <v/>
      </c>
      <c r="C518" s="72" t="str">
        <f>IF(A518&lt;&gt;"",VLOOKUP(A518,'EDC - PRODUCTION'!$A$7:$E$49,5,FALSE),"")</f>
        <v/>
      </c>
      <c r="D518" s="72" t="str">
        <f>IF(A518&lt;&gt;"",VLOOKUP(A518,'EDC - PRODUCTION'!$A$7:$I$49,4,FALSE),"")</f>
        <v/>
      </c>
      <c r="E518" s="44"/>
      <c r="F518" s="45" t="str">
        <f t="shared" si="26"/>
        <v/>
      </c>
      <c r="G518" s="56" t="str">
        <f t="shared" si="27"/>
        <v/>
      </c>
      <c r="H518" s="73"/>
      <c r="I518" s="73"/>
      <c r="J518" s="112" t="str">
        <f t="shared" si="28"/>
        <v/>
      </c>
      <c r="K518" s="68"/>
    </row>
    <row r="519" spans="1:11" x14ac:dyDescent="0.2">
      <c r="A519" s="108"/>
      <c r="B519" s="72" t="str">
        <f>IF(A519&lt;&gt;"",'EDC - PARAMETRAGE'!$A$3,"")</f>
        <v/>
      </c>
      <c r="C519" s="72" t="str">
        <f>IF(A519&lt;&gt;"",VLOOKUP(A519,'EDC - PRODUCTION'!$A$7:$E$49,5,FALSE),"")</f>
        <v/>
      </c>
      <c r="D519" s="72" t="str">
        <f>IF(A519&lt;&gt;"",VLOOKUP(A519,'EDC - PRODUCTION'!$A$7:$I$49,4,FALSE),"")</f>
        <v/>
      </c>
      <c r="E519" s="44"/>
      <c r="F519" s="45" t="str">
        <f t="shared" si="26"/>
        <v/>
      </c>
      <c r="G519" s="56" t="str">
        <f t="shared" si="27"/>
        <v/>
      </c>
      <c r="H519" s="73"/>
      <c r="I519" s="73"/>
      <c r="J519" s="112" t="str">
        <f t="shared" si="28"/>
        <v/>
      </c>
      <c r="K519" s="68"/>
    </row>
    <row r="520" spans="1:11" x14ac:dyDescent="0.2">
      <c r="A520" s="108"/>
      <c r="B520" s="72" t="str">
        <f>IF(A520&lt;&gt;"",'EDC - PARAMETRAGE'!$A$3,"")</f>
        <v/>
      </c>
      <c r="C520" s="72" t="str">
        <f>IF(A520&lt;&gt;"",VLOOKUP(A520,'EDC - PRODUCTION'!$A$7:$E$49,5,FALSE),"")</f>
        <v/>
      </c>
      <c r="D520" s="72" t="str">
        <f>IF(A520&lt;&gt;"",VLOOKUP(A520,'EDC - PRODUCTION'!$A$7:$I$49,4,FALSE),"")</f>
        <v/>
      </c>
      <c r="E520" s="44"/>
      <c r="F520" s="45" t="str">
        <f t="shared" si="26"/>
        <v/>
      </c>
      <c r="G520" s="56" t="str">
        <f t="shared" si="27"/>
        <v/>
      </c>
      <c r="H520" s="73"/>
      <c r="I520" s="73"/>
      <c r="J520" s="112" t="str">
        <f t="shared" si="28"/>
        <v/>
      </c>
      <c r="K520" s="68"/>
    </row>
    <row r="521" spans="1:11" x14ac:dyDescent="0.2">
      <c r="A521" s="108"/>
      <c r="B521" s="72" t="str">
        <f>IF(A521&lt;&gt;"",'EDC - PARAMETRAGE'!$A$3,"")</f>
        <v/>
      </c>
      <c r="C521" s="72" t="str">
        <f>IF(A521&lt;&gt;"",VLOOKUP(A521,'EDC - PRODUCTION'!$A$7:$E$49,5,FALSE),"")</f>
        <v/>
      </c>
      <c r="D521" s="72" t="str">
        <f>IF(A521&lt;&gt;"",VLOOKUP(A521,'EDC - PRODUCTION'!$A$7:$I$49,4,FALSE),"")</f>
        <v/>
      </c>
      <c r="E521" s="44"/>
      <c r="F521" s="45" t="str">
        <f t="shared" si="26"/>
        <v/>
      </c>
      <c r="G521" s="56" t="str">
        <f t="shared" si="27"/>
        <v/>
      </c>
      <c r="H521" s="73"/>
      <c r="I521" s="73"/>
      <c r="J521" s="112" t="str">
        <f t="shared" si="28"/>
        <v/>
      </c>
      <c r="K521" s="68"/>
    </row>
    <row r="522" spans="1:11" x14ac:dyDescent="0.2">
      <c r="A522" s="108"/>
      <c r="B522" s="72" t="str">
        <f>IF(A522&lt;&gt;"",'EDC - PARAMETRAGE'!$A$3,"")</f>
        <v/>
      </c>
      <c r="C522" s="72" t="str">
        <f>IF(A522&lt;&gt;"",VLOOKUP(A522,'EDC - PRODUCTION'!$A$7:$E$49,5,FALSE),"")</f>
        <v/>
      </c>
      <c r="D522" s="72" t="str">
        <f>IF(A522&lt;&gt;"",VLOOKUP(A522,'EDC - PRODUCTION'!$A$7:$I$49,4,FALSE),"")</f>
        <v/>
      </c>
      <c r="E522" s="44"/>
      <c r="F522" s="45" t="str">
        <f t="shared" si="26"/>
        <v/>
      </c>
      <c r="G522" s="56" t="str">
        <f t="shared" si="27"/>
        <v/>
      </c>
      <c r="H522" s="73"/>
      <c r="I522" s="73"/>
      <c r="J522" s="112" t="str">
        <f t="shared" si="28"/>
        <v/>
      </c>
      <c r="K522" s="68"/>
    </row>
    <row r="523" spans="1:11" x14ac:dyDescent="0.2">
      <c r="A523" s="108"/>
      <c r="B523" s="72" t="str">
        <f>IF(A523&lt;&gt;"",'EDC - PARAMETRAGE'!$A$3,"")</f>
        <v/>
      </c>
      <c r="C523" s="72" t="str">
        <f>IF(A523&lt;&gt;"",VLOOKUP(A523,'EDC - PRODUCTION'!$A$7:$E$49,5,FALSE),"")</f>
        <v/>
      </c>
      <c r="D523" s="72" t="str">
        <f>IF(A523&lt;&gt;"",VLOOKUP(A523,'EDC - PRODUCTION'!$A$7:$I$49,4,FALSE),"")</f>
        <v/>
      </c>
      <c r="E523" s="44"/>
      <c r="F523" s="45" t="str">
        <f t="shared" si="26"/>
        <v/>
      </c>
      <c r="G523" s="56" t="str">
        <f t="shared" si="27"/>
        <v/>
      </c>
      <c r="H523" s="73"/>
      <c r="I523" s="73"/>
      <c r="J523" s="112" t="str">
        <f t="shared" si="28"/>
        <v/>
      </c>
      <c r="K523" s="68"/>
    </row>
    <row r="524" spans="1:11" x14ac:dyDescent="0.2">
      <c r="A524" s="108"/>
      <c r="B524" s="72" t="str">
        <f>IF(A524&lt;&gt;"",'EDC - PARAMETRAGE'!$A$3,"")</f>
        <v/>
      </c>
      <c r="C524" s="72" t="str">
        <f>IF(A524&lt;&gt;"",VLOOKUP(A524,'EDC - PRODUCTION'!$A$7:$E$49,5,FALSE),"")</f>
        <v/>
      </c>
      <c r="D524" s="72" t="str">
        <f>IF(A524&lt;&gt;"",VLOOKUP(A524,'EDC - PRODUCTION'!$A$7:$I$49,4,FALSE),"")</f>
        <v/>
      </c>
      <c r="E524" s="44"/>
      <c r="F524" s="45" t="str">
        <f t="shared" si="26"/>
        <v/>
      </c>
      <c r="G524" s="56" t="str">
        <f t="shared" si="27"/>
        <v/>
      </c>
      <c r="H524" s="73"/>
      <c r="I524" s="73"/>
      <c r="J524" s="112" t="str">
        <f t="shared" si="28"/>
        <v/>
      </c>
      <c r="K524" s="68"/>
    </row>
    <row r="525" spans="1:11" x14ac:dyDescent="0.2">
      <c r="A525" s="108"/>
      <c r="B525" s="72" t="str">
        <f>IF(A525&lt;&gt;"",'EDC - PARAMETRAGE'!$A$3,"")</f>
        <v/>
      </c>
      <c r="C525" s="72" t="str">
        <f>IF(A525&lt;&gt;"",VLOOKUP(A525,'EDC - PRODUCTION'!$A$7:$E$49,5,FALSE),"")</f>
        <v/>
      </c>
      <c r="D525" s="72" t="str">
        <f>IF(A525&lt;&gt;"",VLOOKUP(A525,'EDC - PRODUCTION'!$A$7:$I$49,4,FALSE),"")</f>
        <v/>
      </c>
      <c r="E525" s="44"/>
      <c r="F525" s="45" t="str">
        <f t="shared" si="26"/>
        <v/>
      </c>
      <c r="G525" s="56" t="str">
        <f t="shared" si="27"/>
        <v/>
      </c>
      <c r="H525" s="73"/>
      <c r="I525" s="73"/>
      <c r="J525" s="112" t="str">
        <f t="shared" si="28"/>
        <v/>
      </c>
      <c r="K525" s="68"/>
    </row>
    <row r="526" spans="1:11" x14ac:dyDescent="0.2">
      <c r="A526" s="108"/>
      <c r="B526" s="72" t="str">
        <f>IF(A526&lt;&gt;"",'EDC - PARAMETRAGE'!$A$3,"")</f>
        <v/>
      </c>
      <c r="C526" s="72" t="str">
        <f>IF(A526&lt;&gt;"",VLOOKUP(A526,'EDC - PRODUCTION'!$A$7:$E$49,5,FALSE),"")</f>
        <v/>
      </c>
      <c r="D526" s="72" t="str">
        <f>IF(A526&lt;&gt;"",VLOOKUP(A526,'EDC - PRODUCTION'!$A$7:$I$49,4,FALSE),"")</f>
        <v/>
      </c>
      <c r="E526" s="44"/>
      <c r="F526" s="45" t="str">
        <f t="shared" si="26"/>
        <v/>
      </c>
      <c r="G526" s="56" t="str">
        <f t="shared" si="27"/>
        <v/>
      </c>
      <c r="H526" s="73"/>
      <c r="I526" s="73"/>
      <c r="J526" s="112" t="str">
        <f t="shared" si="28"/>
        <v/>
      </c>
      <c r="K526" s="68"/>
    </row>
    <row r="527" spans="1:11" x14ac:dyDescent="0.2">
      <c r="A527" s="108"/>
      <c r="B527" s="72" t="str">
        <f>IF(A527&lt;&gt;"",'EDC - PARAMETRAGE'!$A$3,"")</f>
        <v/>
      </c>
      <c r="C527" s="72" t="str">
        <f>IF(A527&lt;&gt;"",VLOOKUP(A527,'EDC - PRODUCTION'!$A$7:$E$49,5,FALSE),"")</f>
        <v/>
      </c>
      <c r="D527" s="72" t="str">
        <f>IF(A527&lt;&gt;"",VLOOKUP(A527,'EDC - PRODUCTION'!$A$7:$I$49,4,FALSE),"")</f>
        <v/>
      </c>
      <c r="E527" s="44"/>
      <c r="F527" s="45" t="str">
        <f t="shared" si="26"/>
        <v/>
      </c>
      <c r="G527" s="56" t="str">
        <f t="shared" si="27"/>
        <v/>
      </c>
      <c r="H527" s="73"/>
      <c r="I527" s="73"/>
      <c r="J527" s="112" t="str">
        <f t="shared" si="28"/>
        <v/>
      </c>
      <c r="K527" s="68"/>
    </row>
    <row r="528" spans="1:11" x14ac:dyDescent="0.2">
      <c r="A528" s="108"/>
      <c r="B528" s="72" t="str">
        <f>IF(A528&lt;&gt;"",'EDC - PARAMETRAGE'!$A$3,"")</f>
        <v/>
      </c>
      <c r="C528" s="72" t="str">
        <f>IF(A528&lt;&gt;"",VLOOKUP(A528,'EDC - PRODUCTION'!$A$7:$E$49,5,FALSE),"")</f>
        <v/>
      </c>
      <c r="D528" s="72" t="str">
        <f>IF(A528&lt;&gt;"",VLOOKUP(A528,'EDC - PRODUCTION'!$A$7:$I$49,4,FALSE),"")</f>
        <v/>
      </c>
      <c r="E528" s="44"/>
      <c r="F528" s="45" t="str">
        <f t="shared" si="26"/>
        <v/>
      </c>
      <c r="G528" s="56" t="str">
        <f t="shared" si="27"/>
        <v/>
      </c>
      <c r="H528" s="73"/>
      <c r="I528" s="73"/>
      <c r="J528" s="112" t="str">
        <f t="shared" si="28"/>
        <v/>
      </c>
      <c r="K528" s="68"/>
    </row>
    <row r="529" spans="1:11" x14ac:dyDescent="0.2">
      <c r="A529" s="108"/>
      <c r="B529" s="72" t="str">
        <f>IF(A529&lt;&gt;"",'EDC - PARAMETRAGE'!$A$3,"")</f>
        <v/>
      </c>
      <c r="C529" s="72" t="str">
        <f>IF(A529&lt;&gt;"",VLOOKUP(A529,'EDC - PRODUCTION'!$A$7:$E$49,5,FALSE),"")</f>
        <v/>
      </c>
      <c r="D529" s="72" t="str">
        <f>IF(A529&lt;&gt;"",VLOOKUP(A529,'EDC - PRODUCTION'!$A$7:$I$49,4,FALSE),"")</f>
        <v/>
      </c>
      <c r="E529" s="44"/>
      <c r="F529" s="45" t="str">
        <f t="shared" si="26"/>
        <v/>
      </c>
      <c r="G529" s="56" t="str">
        <f t="shared" si="27"/>
        <v/>
      </c>
      <c r="H529" s="73"/>
      <c r="I529" s="73"/>
      <c r="J529" s="112" t="str">
        <f t="shared" si="28"/>
        <v/>
      </c>
      <c r="K529" s="68"/>
    </row>
    <row r="530" spans="1:11" x14ac:dyDescent="0.2">
      <c r="A530" s="108"/>
      <c r="B530" s="72" t="str">
        <f>IF(A530&lt;&gt;"",'EDC - PARAMETRAGE'!$A$3,"")</f>
        <v/>
      </c>
      <c r="C530" s="72" t="str">
        <f>IF(A530&lt;&gt;"",VLOOKUP(A530,'EDC - PRODUCTION'!$A$7:$E$49,5,FALSE),"")</f>
        <v/>
      </c>
      <c r="D530" s="72" t="str">
        <f>IF(A530&lt;&gt;"",VLOOKUP(A530,'EDC - PRODUCTION'!$A$7:$I$49,4,FALSE),"")</f>
        <v/>
      </c>
      <c r="E530" s="44"/>
      <c r="F530" s="45" t="str">
        <f t="shared" si="26"/>
        <v/>
      </c>
      <c r="G530" s="56" t="str">
        <f t="shared" si="27"/>
        <v/>
      </c>
      <c r="H530" s="73"/>
      <c r="I530" s="73"/>
      <c r="J530" s="112" t="str">
        <f t="shared" si="28"/>
        <v/>
      </c>
      <c r="K530" s="68"/>
    </row>
    <row r="531" spans="1:11" x14ac:dyDescent="0.2">
      <c r="A531" s="108"/>
      <c r="B531" s="72" t="str">
        <f>IF(A531&lt;&gt;"",'EDC - PARAMETRAGE'!$A$3,"")</f>
        <v/>
      </c>
      <c r="C531" s="72" t="str">
        <f>IF(A531&lt;&gt;"",VLOOKUP(A531,'EDC - PRODUCTION'!$A$7:$E$49,5,FALSE),"")</f>
        <v/>
      </c>
      <c r="D531" s="72" t="str">
        <f>IF(A531&lt;&gt;"",VLOOKUP(A531,'EDC - PRODUCTION'!$A$7:$I$49,4,FALSE),"")</f>
        <v/>
      </c>
      <c r="E531" s="44"/>
      <c r="F531" s="45" t="str">
        <f t="shared" si="26"/>
        <v/>
      </c>
      <c r="G531" s="56" t="str">
        <f t="shared" si="27"/>
        <v/>
      </c>
      <c r="H531" s="73"/>
      <c r="I531" s="73"/>
      <c r="J531" s="112" t="str">
        <f t="shared" si="28"/>
        <v/>
      </c>
      <c r="K531" s="68"/>
    </row>
    <row r="532" spans="1:11" x14ac:dyDescent="0.2">
      <c r="A532" s="108"/>
      <c r="B532" s="72" t="str">
        <f>IF(A532&lt;&gt;"",'EDC - PARAMETRAGE'!$A$3,"")</f>
        <v/>
      </c>
      <c r="C532" s="72" t="str">
        <f>IF(A532&lt;&gt;"",VLOOKUP(A532,'EDC - PRODUCTION'!$A$7:$E$49,5,FALSE),"")</f>
        <v/>
      </c>
      <c r="D532" s="72" t="str">
        <f>IF(A532&lt;&gt;"",VLOOKUP(A532,'EDC - PRODUCTION'!$A$7:$I$49,4,FALSE),"")</f>
        <v/>
      </c>
      <c r="E532" s="44"/>
      <c r="F532" s="45" t="str">
        <f t="shared" si="26"/>
        <v/>
      </c>
      <c r="G532" s="56" t="str">
        <f t="shared" si="27"/>
        <v/>
      </c>
      <c r="H532" s="73"/>
      <c r="I532" s="73"/>
      <c r="J532" s="112" t="str">
        <f t="shared" si="28"/>
        <v/>
      </c>
      <c r="K532" s="68"/>
    </row>
    <row r="533" spans="1:11" x14ac:dyDescent="0.2">
      <c r="A533" s="108"/>
      <c r="B533" s="72" t="str">
        <f>IF(A533&lt;&gt;"",'EDC - PARAMETRAGE'!$A$3,"")</f>
        <v/>
      </c>
      <c r="C533" s="72" t="str">
        <f>IF(A533&lt;&gt;"",VLOOKUP(A533,'EDC - PRODUCTION'!$A$7:$E$49,5,FALSE),"")</f>
        <v/>
      </c>
      <c r="D533" s="72" t="str">
        <f>IF(A533&lt;&gt;"",VLOOKUP(A533,'EDC - PRODUCTION'!$A$7:$I$49,4,FALSE),"")</f>
        <v/>
      </c>
      <c r="E533" s="44"/>
      <c r="F533" s="45" t="str">
        <f t="shared" si="26"/>
        <v/>
      </c>
      <c r="G533" s="56" t="str">
        <f t="shared" si="27"/>
        <v/>
      </c>
      <c r="H533" s="73"/>
      <c r="I533" s="73"/>
      <c r="J533" s="112" t="str">
        <f t="shared" si="28"/>
        <v/>
      </c>
      <c r="K533" s="68"/>
    </row>
    <row r="534" spans="1:11" x14ac:dyDescent="0.2">
      <c r="A534" s="108"/>
      <c r="B534" s="72" t="str">
        <f>IF(A534&lt;&gt;"",'EDC - PARAMETRAGE'!$A$3,"")</f>
        <v/>
      </c>
      <c r="C534" s="72" t="str">
        <f>IF(A534&lt;&gt;"",VLOOKUP(A534,'EDC - PRODUCTION'!$A$7:$E$49,5,FALSE),"")</f>
        <v/>
      </c>
      <c r="D534" s="72" t="str">
        <f>IF(A534&lt;&gt;"",VLOOKUP(A534,'EDC - PRODUCTION'!$A$7:$I$49,4,FALSE),"")</f>
        <v/>
      </c>
      <c r="E534" s="44"/>
      <c r="F534" s="45" t="str">
        <f t="shared" si="26"/>
        <v/>
      </c>
      <c r="G534" s="56" t="str">
        <f t="shared" si="27"/>
        <v/>
      </c>
      <c r="H534" s="73"/>
      <c r="I534" s="73"/>
      <c r="J534" s="112" t="str">
        <f t="shared" si="28"/>
        <v/>
      </c>
      <c r="K534" s="68"/>
    </row>
    <row r="535" spans="1:11" x14ac:dyDescent="0.2">
      <c r="A535" s="108"/>
      <c r="B535" s="72" t="str">
        <f>IF(A535&lt;&gt;"",'EDC - PARAMETRAGE'!$A$3,"")</f>
        <v/>
      </c>
      <c r="C535" s="72" t="str">
        <f>IF(A535&lt;&gt;"",VLOOKUP(A535,'EDC - PRODUCTION'!$A$7:$E$49,5,FALSE),"")</f>
        <v/>
      </c>
      <c r="D535" s="72" t="str">
        <f>IF(A535&lt;&gt;"",VLOOKUP(A535,'EDC - PRODUCTION'!$A$7:$I$49,4,FALSE),"")</f>
        <v/>
      </c>
      <c r="E535" s="44"/>
      <c r="F535" s="45" t="str">
        <f t="shared" si="26"/>
        <v/>
      </c>
      <c r="G535" s="56" t="str">
        <f t="shared" si="27"/>
        <v/>
      </c>
      <c r="H535" s="73"/>
      <c r="I535" s="73"/>
      <c r="J535" s="112" t="str">
        <f t="shared" si="28"/>
        <v/>
      </c>
      <c r="K535" s="68"/>
    </row>
    <row r="536" spans="1:11" x14ac:dyDescent="0.2">
      <c r="A536" s="108"/>
      <c r="B536" s="72" t="str">
        <f>IF(A536&lt;&gt;"",'EDC - PARAMETRAGE'!$A$3,"")</f>
        <v/>
      </c>
      <c r="C536" s="72" t="str">
        <f>IF(A536&lt;&gt;"",VLOOKUP(A536,'EDC - PRODUCTION'!$A$7:$E$49,5,FALSE),"")</f>
        <v/>
      </c>
      <c r="D536" s="72" t="str">
        <f>IF(A536&lt;&gt;"",VLOOKUP(A536,'EDC - PRODUCTION'!$A$7:$I$49,4,FALSE),"")</f>
        <v/>
      </c>
      <c r="E536" s="44"/>
      <c r="F536" s="45" t="str">
        <f t="shared" si="26"/>
        <v/>
      </c>
      <c r="G536" s="56" t="str">
        <f t="shared" si="27"/>
        <v/>
      </c>
      <c r="H536" s="73"/>
      <c r="I536" s="73"/>
      <c r="J536" s="112" t="str">
        <f t="shared" si="28"/>
        <v/>
      </c>
      <c r="K536" s="68"/>
    </row>
    <row r="537" spans="1:11" x14ac:dyDescent="0.2">
      <c r="A537" s="108"/>
      <c r="B537" s="72" t="str">
        <f>IF(A537&lt;&gt;"",'EDC - PARAMETRAGE'!$A$3,"")</f>
        <v/>
      </c>
      <c r="C537" s="72" t="str">
        <f>IF(A537&lt;&gt;"",VLOOKUP(A537,'EDC - PRODUCTION'!$A$7:$E$49,5,FALSE),"")</f>
        <v/>
      </c>
      <c r="D537" s="72" t="str">
        <f>IF(A537&lt;&gt;"",VLOOKUP(A537,'EDC - PRODUCTION'!$A$7:$I$49,4,FALSE),"")</f>
        <v/>
      </c>
      <c r="E537" s="44"/>
      <c r="F537" s="45" t="str">
        <f t="shared" si="26"/>
        <v/>
      </c>
      <c r="G537" s="56" t="str">
        <f t="shared" si="27"/>
        <v/>
      </c>
      <c r="H537" s="73"/>
      <c r="I537" s="73"/>
      <c r="J537" s="112" t="str">
        <f t="shared" si="28"/>
        <v/>
      </c>
      <c r="K537" s="68"/>
    </row>
    <row r="538" spans="1:11" x14ac:dyDescent="0.2">
      <c r="A538" s="108"/>
      <c r="B538" s="72" t="str">
        <f>IF(A538&lt;&gt;"",'EDC - PARAMETRAGE'!$A$3,"")</f>
        <v/>
      </c>
      <c r="C538" s="72" t="str">
        <f>IF(A538&lt;&gt;"",VLOOKUP(A538,'EDC - PRODUCTION'!$A$7:$E$49,5,FALSE),"")</f>
        <v/>
      </c>
      <c r="D538" s="72" t="str">
        <f>IF(A538&lt;&gt;"",VLOOKUP(A538,'EDC - PRODUCTION'!$A$7:$I$49,4,FALSE),"")</f>
        <v/>
      </c>
      <c r="E538" s="44"/>
      <c r="F538" s="45" t="str">
        <f t="shared" si="26"/>
        <v/>
      </c>
      <c r="G538" s="56" t="str">
        <f t="shared" si="27"/>
        <v/>
      </c>
      <c r="H538" s="73"/>
      <c r="I538" s="73"/>
      <c r="J538" s="112" t="str">
        <f t="shared" si="28"/>
        <v/>
      </c>
      <c r="K538" s="68"/>
    </row>
    <row r="539" spans="1:11" x14ac:dyDescent="0.2">
      <c r="A539" s="108"/>
      <c r="B539" s="72" t="str">
        <f>IF(A539&lt;&gt;"",'EDC - PARAMETRAGE'!$A$3,"")</f>
        <v/>
      </c>
      <c r="C539" s="72" t="str">
        <f>IF(A539&lt;&gt;"",VLOOKUP(A539,'EDC - PRODUCTION'!$A$7:$E$49,5,FALSE),"")</f>
        <v/>
      </c>
      <c r="D539" s="72" t="str">
        <f>IF(A539&lt;&gt;"",VLOOKUP(A539,'EDC - PRODUCTION'!$A$7:$I$49,4,FALSE),"")</f>
        <v/>
      </c>
      <c r="E539" s="44"/>
      <c r="F539" s="45" t="str">
        <f t="shared" si="26"/>
        <v/>
      </c>
      <c r="G539" s="56" t="str">
        <f t="shared" si="27"/>
        <v/>
      </c>
      <c r="H539" s="73"/>
      <c r="I539" s="73"/>
      <c r="J539" s="112" t="str">
        <f t="shared" si="28"/>
        <v/>
      </c>
      <c r="K539" s="68"/>
    </row>
    <row r="540" spans="1:11" x14ac:dyDescent="0.2">
      <c r="A540" s="108"/>
      <c r="B540" s="72" t="str">
        <f>IF(A540&lt;&gt;"",'EDC - PARAMETRAGE'!$A$3,"")</f>
        <v/>
      </c>
      <c r="C540" s="72" t="str">
        <f>IF(A540&lt;&gt;"",VLOOKUP(A540,'EDC - PRODUCTION'!$A$7:$E$49,5,FALSE),"")</f>
        <v/>
      </c>
      <c r="D540" s="72" t="str">
        <f>IF(A540&lt;&gt;"",VLOOKUP(A540,'EDC - PRODUCTION'!$A$7:$I$49,4,FALSE),"")</f>
        <v/>
      </c>
      <c r="E540" s="44"/>
      <c r="F540" s="45" t="str">
        <f t="shared" si="26"/>
        <v/>
      </c>
      <c r="G540" s="56" t="str">
        <f t="shared" si="27"/>
        <v/>
      </c>
      <c r="H540" s="73"/>
      <c r="I540" s="73"/>
      <c r="J540" s="112" t="str">
        <f t="shared" si="28"/>
        <v/>
      </c>
      <c r="K540" s="68"/>
    </row>
    <row r="541" spans="1:11" x14ac:dyDescent="0.2">
      <c r="A541" s="108"/>
      <c r="B541" s="72" t="str">
        <f>IF(A541&lt;&gt;"",'EDC - PARAMETRAGE'!$A$3,"")</f>
        <v/>
      </c>
      <c r="C541" s="72" t="str">
        <f>IF(A541&lt;&gt;"",VLOOKUP(A541,'EDC - PRODUCTION'!$A$7:$E$49,5,FALSE),"")</f>
        <v/>
      </c>
      <c r="D541" s="72" t="str">
        <f>IF(A541&lt;&gt;"",VLOOKUP(A541,'EDC - PRODUCTION'!$A$7:$I$49,4,FALSE),"")</f>
        <v/>
      </c>
      <c r="E541" s="44"/>
      <c r="F541" s="45" t="str">
        <f t="shared" si="26"/>
        <v/>
      </c>
      <c r="G541" s="56" t="str">
        <f t="shared" si="27"/>
        <v/>
      </c>
      <c r="H541" s="73"/>
      <c r="I541" s="73"/>
      <c r="J541" s="112" t="str">
        <f t="shared" si="28"/>
        <v/>
      </c>
      <c r="K541" s="68"/>
    </row>
    <row r="542" spans="1:11" x14ac:dyDescent="0.2">
      <c r="A542" s="108"/>
      <c r="B542" s="72" t="str">
        <f>IF(A542&lt;&gt;"",'EDC - PARAMETRAGE'!$A$3,"")</f>
        <v/>
      </c>
      <c r="C542" s="72" t="str">
        <f>IF(A542&lt;&gt;"",VLOOKUP(A542,'EDC - PRODUCTION'!$A$7:$E$49,5,FALSE),"")</f>
        <v/>
      </c>
      <c r="D542" s="72" t="str">
        <f>IF(A542&lt;&gt;"",VLOOKUP(A542,'EDC - PRODUCTION'!$A$7:$I$49,4,FALSE),"")</f>
        <v/>
      </c>
      <c r="E542" s="44"/>
      <c r="F542" s="45" t="str">
        <f t="shared" si="26"/>
        <v/>
      </c>
      <c r="G542" s="56" t="str">
        <f t="shared" si="27"/>
        <v/>
      </c>
      <c r="H542" s="73"/>
      <c r="I542" s="73"/>
      <c r="J542" s="112" t="str">
        <f t="shared" si="28"/>
        <v/>
      </c>
      <c r="K542" s="68"/>
    </row>
    <row r="543" spans="1:11" x14ac:dyDescent="0.2">
      <c r="A543" s="108"/>
      <c r="B543" s="72" t="str">
        <f>IF(A543&lt;&gt;"",'EDC - PARAMETRAGE'!$A$3,"")</f>
        <v/>
      </c>
      <c r="C543" s="72" t="str">
        <f>IF(A543&lt;&gt;"",VLOOKUP(A543,'EDC - PRODUCTION'!$A$7:$E$49,5,FALSE),"")</f>
        <v/>
      </c>
      <c r="D543" s="72" t="str">
        <f>IF(A543&lt;&gt;"",VLOOKUP(A543,'EDC - PRODUCTION'!$A$7:$I$49,4,FALSE),"")</f>
        <v/>
      </c>
      <c r="E543" s="44"/>
      <c r="F543" s="45" t="str">
        <f t="shared" si="26"/>
        <v/>
      </c>
      <c r="G543" s="56" t="str">
        <f t="shared" si="27"/>
        <v/>
      </c>
      <c r="H543" s="73"/>
      <c r="I543" s="73"/>
      <c r="J543" s="112" t="str">
        <f t="shared" si="28"/>
        <v/>
      </c>
      <c r="K543" s="68"/>
    </row>
    <row r="544" spans="1:11" x14ac:dyDescent="0.2">
      <c r="A544" s="108"/>
      <c r="B544" s="72" t="str">
        <f>IF(A544&lt;&gt;"",'EDC - PARAMETRAGE'!$A$3,"")</f>
        <v/>
      </c>
      <c r="C544" s="72" t="str">
        <f>IF(A544&lt;&gt;"",VLOOKUP(A544,'EDC - PRODUCTION'!$A$7:$E$49,5,FALSE),"")</f>
        <v/>
      </c>
      <c r="D544" s="72" t="str">
        <f>IF(A544&lt;&gt;"",VLOOKUP(A544,'EDC - PRODUCTION'!$A$7:$I$49,4,FALSE),"")</f>
        <v/>
      </c>
      <c r="E544" s="44"/>
      <c r="F544" s="45" t="str">
        <f t="shared" si="26"/>
        <v/>
      </c>
      <c r="G544" s="56" t="str">
        <f t="shared" si="27"/>
        <v/>
      </c>
      <c r="H544" s="73"/>
      <c r="I544" s="73"/>
      <c r="J544" s="112" t="str">
        <f t="shared" si="28"/>
        <v/>
      </c>
      <c r="K544" s="68"/>
    </row>
    <row r="545" spans="1:11" x14ac:dyDescent="0.2">
      <c r="A545" s="108"/>
      <c r="B545" s="72" t="str">
        <f>IF(A545&lt;&gt;"",'EDC - PARAMETRAGE'!$A$3,"")</f>
        <v/>
      </c>
      <c r="C545" s="72" t="str">
        <f>IF(A545&lt;&gt;"",VLOOKUP(A545,'EDC - PRODUCTION'!$A$7:$E$49,5,FALSE),"")</f>
        <v/>
      </c>
      <c r="D545" s="72" t="str">
        <f>IF(A545&lt;&gt;"",VLOOKUP(A545,'EDC - PRODUCTION'!$A$7:$I$49,4,FALSE),"")</f>
        <v/>
      </c>
      <c r="E545" s="44"/>
      <c r="F545" s="45" t="str">
        <f t="shared" si="26"/>
        <v/>
      </c>
      <c r="G545" s="56" t="str">
        <f t="shared" si="27"/>
        <v/>
      </c>
      <c r="H545" s="73"/>
      <c r="I545" s="73"/>
      <c r="J545" s="112" t="str">
        <f t="shared" si="28"/>
        <v/>
      </c>
      <c r="K545" s="68"/>
    </row>
    <row r="546" spans="1:11" x14ac:dyDescent="0.2">
      <c r="A546" s="108"/>
      <c r="B546" s="72" t="str">
        <f>IF(A546&lt;&gt;"",'EDC - PARAMETRAGE'!$A$3,"")</f>
        <v/>
      </c>
      <c r="C546" s="72" t="str">
        <f>IF(A546&lt;&gt;"",VLOOKUP(A546,'EDC - PRODUCTION'!$A$7:$E$49,5,FALSE),"")</f>
        <v/>
      </c>
      <c r="D546" s="72" t="str">
        <f>IF(A546&lt;&gt;"",VLOOKUP(A546,'EDC - PRODUCTION'!$A$7:$I$49,4,FALSE),"")</f>
        <v/>
      </c>
      <c r="E546" s="44"/>
      <c r="F546" s="45" t="str">
        <f t="shared" si="26"/>
        <v/>
      </c>
      <c r="G546" s="56" t="str">
        <f t="shared" si="27"/>
        <v/>
      </c>
      <c r="H546" s="73"/>
      <c r="I546" s="73"/>
      <c r="J546" s="112" t="str">
        <f t="shared" si="28"/>
        <v/>
      </c>
      <c r="K546" s="68"/>
    </row>
    <row r="547" spans="1:11" x14ac:dyDescent="0.2">
      <c r="A547" s="108"/>
      <c r="B547" s="72" t="str">
        <f>IF(A547&lt;&gt;"",'EDC - PARAMETRAGE'!$A$3,"")</f>
        <v/>
      </c>
      <c r="C547" s="72" t="str">
        <f>IF(A547&lt;&gt;"",VLOOKUP(A547,'EDC - PRODUCTION'!$A$7:$E$49,5,FALSE),"")</f>
        <v/>
      </c>
      <c r="D547" s="72" t="str">
        <f>IF(A547&lt;&gt;"",VLOOKUP(A547,'EDC - PRODUCTION'!$A$7:$I$49,4,FALSE),"")</f>
        <v/>
      </c>
      <c r="E547" s="44"/>
      <c r="F547" s="45" t="str">
        <f t="shared" si="26"/>
        <v/>
      </c>
      <c r="G547" s="56" t="str">
        <f t="shared" si="27"/>
        <v/>
      </c>
      <c r="H547" s="73"/>
      <c r="I547" s="73"/>
      <c r="J547" s="112" t="str">
        <f t="shared" si="28"/>
        <v/>
      </c>
      <c r="K547" s="68"/>
    </row>
    <row r="548" spans="1:11" x14ac:dyDescent="0.2">
      <c r="A548" s="108"/>
      <c r="B548" s="72" t="str">
        <f>IF(A548&lt;&gt;"",'EDC - PARAMETRAGE'!$A$3,"")</f>
        <v/>
      </c>
      <c r="C548" s="72" t="str">
        <f>IF(A548&lt;&gt;"",VLOOKUP(A548,'EDC - PRODUCTION'!$A$7:$E$49,5,FALSE),"")</f>
        <v/>
      </c>
      <c r="D548" s="72" t="str">
        <f>IF(A548&lt;&gt;"",VLOOKUP(A548,'EDC - PRODUCTION'!$A$7:$I$49,4,FALSE),"")</f>
        <v/>
      </c>
      <c r="E548" s="44"/>
      <c r="F548" s="45" t="str">
        <f t="shared" si="26"/>
        <v/>
      </c>
      <c r="G548" s="56" t="str">
        <f t="shared" si="27"/>
        <v/>
      </c>
      <c r="H548" s="73"/>
      <c r="I548" s="73"/>
      <c r="J548" s="112" t="str">
        <f t="shared" si="28"/>
        <v/>
      </c>
      <c r="K548" s="68"/>
    </row>
    <row r="549" spans="1:11" x14ac:dyDescent="0.2">
      <c r="A549" s="108"/>
      <c r="B549" s="72" t="str">
        <f>IF(A549&lt;&gt;"",'EDC - PARAMETRAGE'!$A$3,"")</f>
        <v/>
      </c>
      <c r="C549" s="72" t="str">
        <f>IF(A549&lt;&gt;"",VLOOKUP(A549,'EDC - PRODUCTION'!$A$7:$E$49,5,FALSE),"")</f>
        <v/>
      </c>
      <c r="D549" s="72" t="str">
        <f>IF(A549&lt;&gt;"",VLOOKUP(A549,'EDC - PRODUCTION'!$A$7:$I$49,4,FALSE),"")</f>
        <v/>
      </c>
      <c r="E549" s="44"/>
      <c r="F549" s="45" t="str">
        <f t="shared" si="26"/>
        <v/>
      </c>
      <c r="G549" s="56" t="str">
        <f t="shared" si="27"/>
        <v/>
      </c>
      <c r="H549" s="73"/>
      <c r="I549" s="73"/>
      <c r="J549" s="112" t="str">
        <f t="shared" si="28"/>
        <v/>
      </c>
      <c r="K549" s="68"/>
    </row>
    <row r="550" spans="1:11" x14ac:dyDescent="0.2">
      <c r="A550" s="108"/>
      <c r="B550" s="72" t="str">
        <f>IF(A550&lt;&gt;"",'EDC - PARAMETRAGE'!$A$3,"")</f>
        <v/>
      </c>
      <c r="C550" s="72" t="str">
        <f>IF(A550&lt;&gt;"",VLOOKUP(A550,'EDC - PRODUCTION'!$A$7:$E$49,5,FALSE),"")</f>
        <v/>
      </c>
      <c r="D550" s="72" t="str">
        <f>IF(A550&lt;&gt;"",VLOOKUP(A550,'EDC - PRODUCTION'!$A$7:$I$49,4,FALSE),"")</f>
        <v/>
      </c>
      <c r="E550" s="44"/>
      <c r="F550" s="45" t="str">
        <f t="shared" si="26"/>
        <v/>
      </c>
      <c r="G550" s="56" t="str">
        <f t="shared" si="27"/>
        <v/>
      </c>
      <c r="H550" s="73"/>
      <c r="I550" s="73"/>
      <c r="J550" s="112" t="str">
        <f t="shared" si="28"/>
        <v/>
      </c>
      <c r="K550" s="68"/>
    </row>
    <row r="551" spans="1:11" x14ac:dyDescent="0.2">
      <c r="A551" s="108"/>
      <c r="B551" s="72" t="str">
        <f>IF(A551&lt;&gt;"",'EDC - PARAMETRAGE'!$A$3,"")</f>
        <v/>
      </c>
      <c r="C551" s="72" t="str">
        <f>IF(A551&lt;&gt;"",VLOOKUP(A551,'EDC - PRODUCTION'!$A$7:$E$49,5,FALSE),"")</f>
        <v/>
      </c>
      <c r="D551" s="72" t="str">
        <f>IF(A551&lt;&gt;"",VLOOKUP(A551,'EDC - PRODUCTION'!$A$7:$I$49,4,FALSE),"")</f>
        <v/>
      </c>
      <c r="E551" s="44"/>
      <c r="F551" s="45" t="str">
        <f t="shared" si="26"/>
        <v/>
      </c>
      <c r="G551" s="56" t="str">
        <f t="shared" si="27"/>
        <v/>
      </c>
      <c r="H551" s="73"/>
      <c r="I551" s="73"/>
      <c r="J551" s="112" t="str">
        <f t="shared" si="28"/>
        <v/>
      </c>
      <c r="K551" s="68"/>
    </row>
    <row r="552" spans="1:11" x14ac:dyDescent="0.2">
      <c r="A552" s="108"/>
      <c r="B552" s="72" t="str">
        <f>IF(A552&lt;&gt;"",'EDC - PARAMETRAGE'!$A$3,"")</f>
        <v/>
      </c>
      <c r="C552" s="72" t="str">
        <f>IF(A552&lt;&gt;"",VLOOKUP(A552,'EDC - PRODUCTION'!$A$7:$E$49,5,FALSE),"")</f>
        <v/>
      </c>
      <c r="D552" s="72" t="str">
        <f>IF(A552&lt;&gt;"",VLOOKUP(A552,'EDC - PRODUCTION'!$A$7:$I$49,4,FALSE),"")</f>
        <v/>
      </c>
      <c r="E552" s="44"/>
      <c r="F552" s="45" t="str">
        <f t="shared" si="26"/>
        <v/>
      </c>
      <c r="G552" s="56" t="str">
        <f t="shared" si="27"/>
        <v/>
      </c>
      <c r="H552" s="73"/>
      <c r="I552" s="73"/>
      <c r="J552" s="112" t="str">
        <f t="shared" si="28"/>
        <v/>
      </c>
      <c r="K552" s="68"/>
    </row>
    <row r="553" spans="1:11" x14ac:dyDescent="0.2">
      <c r="A553" s="108"/>
      <c r="B553" s="72" t="str">
        <f>IF(A553&lt;&gt;"",'EDC - PARAMETRAGE'!$A$3,"")</f>
        <v/>
      </c>
      <c r="C553" s="72" t="str">
        <f>IF(A553&lt;&gt;"",VLOOKUP(A553,'EDC - PRODUCTION'!$A$7:$E$49,5,FALSE),"")</f>
        <v/>
      </c>
      <c r="D553" s="72" t="str">
        <f>IF(A553&lt;&gt;"",VLOOKUP(A553,'EDC - PRODUCTION'!$A$7:$I$49,4,FALSE),"")</f>
        <v/>
      </c>
      <c r="E553" s="44"/>
      <c r="F553" s="45" t="str">
        <f t="shared" si="26"/>
        <v/>
      </c>
      <c r="G553" s="56" t="str">
        <f t="shared" si="27"/>
        <v/>
      </c>
      <c r="H553" s="73"/>
      <c r="I553" s="73"/>
      <c r="J553" s="112" t="str">
        <f t="shared" si="28"/>
        <v/>
      </c>
      <c r="K553" s="68"/>
    </row>
    <row r="554" spans="1:11" x14ac:dyDescent="0.2">
      <c r="A554" s="108"/>
      <c r="B554" s="72" t="str">
        <f>IF(A554&lt;&gt;"",'EDC - PARAMETRAGE'!$A$3,"")</f>
        <v/>
      </c>
      <c r="C554" s="72" t="str">
        <f>IF(A554&lt;&gt;"",VLOOKUP(A554,'EDC - PRODUCTION'!$A$7:$E$49,5,FALSE),"")</f>
        <v/>
      </c>
      <c r="D554" s="72" t="str">
        <f>IF(A554&lt;&gt;"",VLOOKUP(A554,'EDC - PRODUCTION'!$A$7:$I$49,4,FALSE),"")</f>
        <v/>
      </c>
      <c r="E554" s="44"/>
      <c r="F554" s="45" t="str">
        <f t="shared" si="26"/>
        <v/>
      </c>
      <c r="G554" s="56" t="str">
        <f t="shared" si="27"/>
        <v/>
      </c>
      <c r="H554" s="73"/>
      <c r="I554" s="73"/>
      <c r="J554" s="112" t="str">
        <f t="shared" si="28"/>
        <v/>
      </c>
      <c r="K554" s="68"/>
    </row>
    <row r="555" spans="1:11" x14ac:dyDescent="0.2">
      <c r="A555" s="108"/>
      <c r="B555" s="72" t="str">
        <f>IF(A555&lt;&gt;"",'EDC - PARAMETRAGE'!$A$3,"")</f>
        <v/>
      </c>
      <c r="C555" s="72" t="str">
        <f>IF(A555&lt;&gt;"",VLOOKUP(A555,'EDC - PRODUCTION'!$A$7:$E$49,5,FALSE),"")</f>
        <v/>
      </c>
      <c r="D555" s="72" t="str">
        <f>IF(A555&lt;&gt;"",VLOOKUP(A555,'EDC - PRODUCTION'!$A$7:$I$49,4,FALSE),"")</f>
        <v/>
      </c>
      <c r="E555" s="44"/>
      <c r="F555" s="45" t="str">
        <f t="shared" si="26"/>
        <v/>
      </c>
      <c r="G555" s="56" t="str">
        <f t="shared" si="27"/>
        <v/>
      </c>
      <c r="H555" s="73"/>
      <c r="I555" s="73"/>
      <c r="J555" s="112" t="str">
        <f t="shared" si="28"/>
        <v/>
      </c>
      <c r="K555" s="68"/>
    </row>
    <row r="556" spans="1:11" x14ac:dyDescent="0.2">
      <c r="A556" s="108"/>
      <c r="B556" s="72" t="str">
        <f>IF(A556&lt;&gt;"",'EDC - PARAMETRAGE'!$A$3,"")</f>
        <v/>
      </c>
      <c r="C556" s="72" t="str">
        <f>IF(A556&lt;&gt;"",VLOOKUP(A556,'EDC - PRODUCTION'!$A$7:$E$49,5,FALSE),"")</f>
        <v/>
      </c>
      <c r="D556" s="72" t="str">
        <f>IF(A556&lt;&gt;"",VLOOKUP(A556,'EDC - PRODUCTION'!$A$7:$I$49,4,FALSE),"")</f>
        <v/>
      </c>
      <c r="E556" s="44"/>
      <c r="F556" s="45" t="str">
        <f t="shared" si="26"/>
        <v/>
      </c>
      <c r="G556" s="56" t="str">
        <f t="shared" si="27"/>
        <v/>
      </c>
      <c r="H556" s="73"/>
      <c r="I556" s="73"/>
      <c r="J556" s="112" t="str">
        <f t="shared" si="28"/>
        <v/>
      </c>
      <c r="K556" s="68"/>
    </row>
    <row r="557" spans="1:11" x14ac:dyDescent="0.2">
      <c r="A557" s="108"/>
      <c r="B557" s="72" t="str">
        <f>IF(A557&lt;&gt;"",'EDC - PARAMETRAGE'!$A$3,"")</f>
        <v/>
      </c>
      <c r="C557" s="72" t="str">
        <f>IF(A557&lt;&gt;"",VLOOKUP(A557,'EDC - PRODUCTION'!$A$7:$E$49,5,FALSE),"")</f>
        <v/>
      </c>
      <c r="D557" s="72" t="str">
        <f>IF(A557&lt;&gt;"",VLOOKUP(A557,'EDC - PRODUCTION'!$A$7:$I$49,4,FALSE),"")</f>
        <v/>
      </c>
      <c r="E557" s="44"/>
      <c r="F557" s="45" t="str">
        <f t="shared" si="26"/>
        <v/>
      </c>
      <c r="G557" s="56" t="str">
        <f t="shared" si="27"/>
        <v/>
      </c>
      <c r="H557" s="73"/>
      <c r="I557" s="73"/>
      <c r="J557" s="112" t="str">
        <f t="shared" si="28"/>
        <v/>
      </c>
      <c r="K557" s="68"/>
    </row>
    <row r="558" spans="1:11" x14ac:dyDescent="0.2">
      <c r="A558" s="108"/>
      <c r="B558" s="72" t="str">
        <f>IF(A558&lt;&gt;"",'EDC - PARAMETRAGE'!$A$3,"")</f>
        <v/>
      </c>
      <c r="C558" s="72" t="str">
        <f>IF(A558&lt;&gt;"",VLOOKUP(A558,'EDC - PRODUCTION'!$A$7:$E$49,5,FALSE),"")</f>
        <v/>
      </c>
      <c r="D558" s="72" t="str">
        <f>IF(A558&lt;&gt;"",VLOOKUP(A558,'EDC - PRODUCTION'!$A$7:$I$49,4,FALSE),"")</f>
        <v/>
      </c>
      <c r="E558" s="44"/>
      <c r="F558" s="45" t="str">
        <f t="shared" si="26"/>
        <v/>
      </c>
      <c r="G558" s="56" t="str">
        <f t="shared" si="27"/>
        <v/>
      </c>
      <c r="H558" s="73"/>
      <c r="I558" s="73"/>
      <c r="J558" s="112" t="str">
        <f t="shared" si="28"/>
        <v/>
      </c>
      <c r="K558" s="68"/>
    </row>
    <row r="559" spans="1:11" x14ac:dyDescent="0.2">
      <c r="A559" s="108"/>
      <c r="B559" s="72" t="str">
        <f>IF(A559&lt;&gt;"",'EDC - PARAMETRAGE'!$A$3,"")</f>
        <v/>
      </c>
      <c r="C559" s="72" t="str">
        <f>IF(A559&lt;&gt;"",VLOOKUP(A559,'EDC - PRODUCTION'!$A$7:$E$49,5,FALSE),"")</f>
        <v/>
      </c>
      <c r="D559" s="72" t="str">
        <f>IF(A559&lt;&gt;"",VLOOKUP(A559,'EDC - PRODUCTION'!$A$7:$I$49,4,FALSE),"")</f>
        <v/>
      </c>
      <c r="E559" s="44"/>
      <c r="F559" s="45" t="str">
        <f t="shared" si="26"/>
        <v/>
      </c>
      <c r="G559" s="56" t="str">
        <f t="shared" si="27"/>
        <v/>
      </c>
      <c r="H559" s="73"/>
      <c r="I559" s="73"/>
      <c r="J559" s="112" t="str">
        <f t="shared" si="28"/>
        <v/>
      </c>
      <c r="K559" s="68"/>
    </row>
    <row r="560" spans="1:11" x14ac:dyDescent="0.2">
      <c r="A560" s="108"/>
      <c r="B560" s="72" t="str">
        <f>IF(A560&lt;&gt;"",'EDC - PARAMETRAGE'!$A$3,"")</f>
        <v/>
      </c>
      <c r="C560" s="72" t="str">
        <f>IF(A560&lt;&gt;"",VLOOKUP(A560,'EDC - PRODUCTION'!$A$7:$E$49,5,FALSE),"")</f>
        <v/>
      </c>
      <c r="D560" s="72" t="str">
        <f>IF(A560&lt;&gt;"",VLOOKUP(A560,'EDC - PRODUCTION'!$A$7:$I$49,4,FALSE),"")</f>
        <v/>
      </c>
      <c r="E560" s="44"/>
      <c r="F560" s="45" t="str">
        <f t="shared" si="26"/>
        <v/>
      </c>
      <c r="G560" s="56" t="str">
        <f t="shared" si="27"/>
        <v/>
      </c>
      <c r="H560" s="73"/>
      <c r="I560" s="73"/>
      <c r="J560" s="112" t="str">
        <f t="shared" si="28"/>
        <v/>
      </c>
      <c r="K560" s="68"/>
    </row>
    <row r="561" spans="1:11" x14ac:dyDescent="0.2">
      <c r="A561" s="108"/>
      <c r="B561" s="72" t="str">
        <f>IF(A561&lt;&gt;"",'EDC - PARAMETRAGE'!$A$3,"")</f>
        <v/>
      </c>
      <c r="C561" s="72" t="str">
        <f>IF(A561&lt;&gt;"",VLOOKUP(A561,'EDC - PRODUCTION'!$A$7:$E$49,5,FALSE),"")</f>
        <v/>
      </c>
      <c r="D561" s="72" t="str">
        <f>IF(A561&lt;&gt;"",VLOOKUP(A561,'EDC - PRODUCTION'!$A$7:$I$49,4,FALSE),"")</f>
        <v/>
      </c>
      <c r="E561" s="44"/>
      <c r="F561" s="45" t="str">
        <f t="shared" si="26"/>
        <v/>
      </c>
      <c r="G561" s="56" t="str">
        <f t="shared" si="27"/>
        <v/>
      </c>
      <c r="H561" s="73"/>
      <c r="I561" s="73"/>
      <c r="J561" s="112" t="str">
        <f t="shared" si="28"/>
        <v/>
      </c>
      <c r="K561" s="68"/>
    </row>
    <row r="562" spans="1:11" x14ac:dyDescent="0.2">
      <c r="A562" s="108"/>
      <c r="B562" s="72" t="str">
        <f>IF(A562&lt;&gt;"",'EDC - PARAMETRAGE'!$A$3,"")</f>
        <v/>
      </c>
      <c r="C562" s="72" t="str">
        <f>IF(A562&lt;&gt;"",VLOOKUP(A562,'EDC - PRODUCTION'!$A$7:$E$49,5,FALSE),"")</f>
        <v/>
      </c>
      <c r="D562" s="72" t="str">
        <f>IF(A562&lt;&gt;"",VLOOKUP(A562,'EDC - PRODUCTION'!$A$7:$I$49,4,FALSE),"")</f>
        <v/>
      </c>
      <c r="E562" s="44"/>
      <c r="F562" s="45" t="str">
        <f t="shared" si="26"/>
        <v/>
      </c>
      <c r="G562" s="56" t="str">
        <f t="shared" si="27"/>
        <v/>
      </c>
      <c r="H562" s="73"/>
      <c r="I562" s="73"/>
      <c r="J562" s="112" t="str">
        <f t="shared" si="28"/>
        <v/>
      </c>
      <c r="K562" s="68"/>
    </row>
    <row r="563" spans="1:11" x14ac:dyDescent="0.2">
      <c r="A563" s="108"/>
      <c r="B563" s="72" t="str">
        <f>IF(A563&lt;&gt;"",'EDC - PARAMETRAGE'!$A$3,"")</f>
        <v/>
      </c>
      <c r="C563" s="72" t="str">
        <f>IF(A563&lt;&gt;"",VLOOKUP(A563,'EDC - PRODUCTION'!$A$7:$E$49,5,FALSE),"")</f>
        <v/>
      </c>
      <c r="D563" s="72" t="str">
        <f>IF(A563&lt;&gt;"",VLOOKUP(A563,'EDC - PRODUCTION'!$A$7:$I$49,4,FALSE),"")</f>
        <v/>
      </c>
      <c r="E563" s="44"/>
      <c r="F563" s="45" t="str">
        <f t="shared" si="26"/>
        <v/>
      </c>
      <c r="G563" s="56" t="str">
        <f t="shared" si="27"/>
        <v/>
      </c>
      <c r="H563" s="73"/>
      <c r="I563" s="73"/>
      <c r="J563" s="112" t="str">
        <f t="shared" si="28"/>
        <v/>
      </c>
      <c r="K563" s="68"/>
    </row>
    <row r="564" spans="1:11" x14ac:dyDescent="0.2">
      <c r="A564" s="108"/>
      <c r="B564" s="72" t="str">
        <f>IF(A564&lt;&gt;"",'EDC - PARAMETRAGE'!$A$3,"")</f>
        <v/>
      </c>
      <c r="C564" s="72" t="str">
        <f>IF(A564&lt;&gt;"",VLOOKUP(A564,'EDC - PRODUCTION'!$A$7:$E$49,5,FALSE),"")</f>
        <v/>
      </c>
      <c r="D564" s="72" t="str">
        <f>IF(A564&lt;&gt;"",VLOOKUP(A564,'EDC - PRODUCTION'!$A$7:$I$49,4,FALSE),"")</f>
        <v/>
      </c>
      <c r="E564" s="44"/>
      <c r="F564" s="45" t="str">
        <f t="shared" si="26"/>
        <v/>
      </c>
      <c r="G564" s="56" t="str">
        <f t="shared" si="27"/>
        <v/>
      </c>
      <c r="H564" s="73"/>
      <c r="I564" s="73"/>
      <c r="J564" s="112" t="str">
        <f t="shared" si="28"/>
        <v/>
      </c>
      <c r="K564" s="68"/>
    </row>
    <row r="565" spans="1:11" x14ac:dyDescent="0.2">
      <c r="A565" s="108"/>
      <c r="B565" s="72" t="str">
        <f>IF(A565&lt;&gt;"",'EDC - PARAMETRAGE'!$A$3,"")</f>
        <v/>
      </c>
      <c r="C565" s="72" t="str">
        <f>IF(A565&lt;&gt;"",VLOOKUP(A565,'EDC - PRODUCTION'!$A$7:$E$49,5,FALSE),"")</f>
        <v/>
      </c>
      <c r="D565" s="72" t="str">
        <f>IF(A565&lt;&gt;"",VLOOKUP(A565,'EDC - PRODUCTION'!$A$7:$I$49,4,FALSE),"")</f>
        <v/>
      </c>
      <c r="E565" s="44"/>
      <c r="F565" s="45" t="str">
        <f t="shared" si="26"/>
        <v/>
      </c>
      <c r="G565" s="56" t="str">
        <f t="shared" si="27"/>
        <v/>
      </c>
      <c r="H565" s="73"/>
      <c r="I565" s="73"/>
      <c r="J565" s="112" t="str">
        <f t="shared" si="28"/>
        <v/>
      </c>
      <c r="K565" s="68"/>
    </row>
    <row r="566" spans="1:11" x14ac:dyDescent="0.2">
      <c r="A566" s="108"/>
      <c r="B566" s="72" t="str">
        <f>IF(A566&lt;&gt;"",'EDC - PARAMETRAGE'!$A$3,"")</f>
        <v/>
      </c>
      <c r="C566" s="72" t="str">
        <f>IF(A566&lt;&gt;"",VLOOKUP(A566,'EDC - PRODUCTION'!$A$7:$E$49,5,FALSE),"")</f>
        <v/>
      </c>
      <c r="D566" s="72" t="str">
        <f>IF(A566&lt;&gt;"",VLOOKUP(A566,'EDC - PRODUCTION'!$A$7:$I$49,4,FALSE),"")</f>
        <v/>
      </c>
      <c r="E566" s="44"/>
      <c r="F566" s="45" t="str">
        <f t="shared" si="26"/>
        <v/>
      </c>
      <c r="G566" s="56" t="str">
        <f t="shared" si="27"/>
        <v/>
      </c>
      <c r="H566" s="73"/>
      <c r="I566" s="73"/>
      <c r="J566" s="112" t="str">
        <f t="shared" si="28"/>
        <v/>
      </c>
      <c r="K566" s="68"/>
    </row>
    <row r="567" spans="1:11" x14ac:dyDescent="0.2">
      <c r="A567" s="108"/>
      <c r="B567" s="72" t="str">
        <f>IF(A567&lt;&gt;"",'EDC - PARAMETRAGE'!$A$3,"")</f>
        <v/>
      </c>
      <c r="C567" s="72" t="str">
        <f>IF(A567&lt;&gt;"",VLOOKUP(A567,'EDC - PRODUCTION'!$A$7:$E$49,5,FALSE),"")</f>
        <v/>
      </c>
      <c r="D567" s="72" t="str">
        <f>IF(A567&lt;&gt;"",VLOOKUP(A567,'EDC - PRODUCTION'!$A$7:$I$49,4,FALSE),"")</f>
        <v/>
      </c>
      <c r="E567" s="44"/>
      <c r="F567" s="45" t="str">
        <f t="shared" si="26"/>
        <v/>
      </c>
      <c r="G567" s="56" t="str">
        <f t="shared" si="27"/>
        <v/>
      </c>
      <c r="H567" s="73"/>
      <c r="I567" s="73"/>
      <c r="J567" s="112" t="str">
        <f t="shared" si="28"/>
        <v/>
      </c>
      <c r="K567" s="68"/>
    </row>
    <row r="568" spans="1:11" x14ac:dyDescent="0.2">
      <c r="A568" s="108"/>
      <c r="B568" s="72" t="str">
        <f>IF(A568&lt;&gt;"",'EDC - PARAMETRAGE'!$A$3,"")</f>
        <v/>
      </c>
      <c r="C568" s="72" t="str">
        <f>IF(A568&lt;&gt;"",VLOOKUP(A568,'EDC - PRODUCTION'!$A$7:$E$49,5,FALSE),"")</f>
        <v/>
      </c>
      <c r="D568" s="72" t="str">
        <f>IF(A568&lt;&gt;"",VLOOKUP(A568,'EDC - PRODUCTION'!$A$7:$I$49,4,FALSE),"")</f>
        <v/>
      </c>
      <c r="E568" s="44"/>
      <c r="F568" s="45" t="str">
        <f t="shared" si="26"/>
        <v/>
      </c>
      <c r="G568" s="56" t="str">
        <f t="shared" si="27"/>
        <v/>
      </c>
      <c r="H568" s="73"/>
      <c r="I568" s="73"/>
      <c r="J568" s="112" t="str">
        <f t="shared" si="28"/>
        <v/>
      </c>
      <c r="K568" s="68"/>
    </row>
    <row r="569" spans="1:11" x14ac:dyDescent="0.2">
      <c r="A569" s="108"/>
      <c r="B569" s="72" t="str">
        <f>IF(A569&lt;&gt;"",'EDC - PARAMETRAGE'!$A$3,"")</f>
        <v/>
      </c>
      <c r="C569" s="72" t="str">
        <f>IF(A569&lt;&gt;"",VLOOKUP(A569,'EDC - PRODUCTION'!$A$7:$E$49,5,FALSE),"")</f>
        <v/>
      </c>
      <c r="D569" s="72" t="str">
        <f>IF(A569&lt;&gt;"",VLOOKUP(A569,'EDC - PRODUCTION'!$A$7:$I$49,4,FALSE),"")</f>
        <v/>
      </c>
      <c r="E569" s="44"/>
      <c r="F569" s="45" t="str">
        <f t="shared" si="26"/>
        <v/>
      </c>
      <c r="G569" s="56" t="str">
        <f t="shared" si="27"/>
        <v/>
      </c>
      <c r="H569" s="73"/>
      <c r="I569" s="73"/>
      <c r="J569" s="112" t="str">
        <f t="shared" si="28"/>
        <v/>
      </c>
      <c r="K569" s="68"/>
    </row>
    <row r="570" spans="1:11" x14ac:dyDescent="0.2">
      <c r="A570" s="108"/>
      <c r="B570" s="72" t="str">
        <f>IF(A570&lt;&gt;"",'EDC - PARAMETRAGE'!$A$3,"")</f>
        <v/>
      </c>
      <c r="C570" s="72" t="str">
        <f>IF(A570&lt;&gt;"",VLOOKUP(A570,'EDC - PRODUCTION'!$A$7:$E$49,5,FALSE),"")</f>
        <v/>
      </c>
      <c r="D570" s="72" t="str">
        <f>IF(A570&lt;&gt;"",VLOOKUP(A570,'EDC - PRODUCTION'!$A$7:$I$49,4,FALSE),"")</f>
        <v/>
      </c>
      <c r="E570" s="44"/>
      <c r="F570" s="45" t="str">
        <f t="shared" si="26"/>
        <v/>
      </c>
      <c r="G570" s="56" t="str">
        <f t="shared" si="27"/>
        <v/>
      </c>
      <c r="H570" s="73"/>
      <c r="I570" s="73"/>
      <c r="J570" s="112" t="str">
        <f t="shared" si="28"/>
        <v/>
      </c>
      <c r="K570" s="68"/>
    </row>
    <row r="571" spans="1:11" x14ac:dyDescent="0.2">
      <c r="A571" s="108"/>
      <c r="B571" s="72" t="str">
        <f>IF(A571&lt;&gt;"",'EDC - PARAMETRAGE'!$A$3,"")</f>
        <v/>
      </c>
      <c r="C571" s="72" t="str">
        <f>IF(A571&lt;&gt;"",VLOOKUP(A571,'EDC - PRODUCTION'!$A$7:$E$49,5,FALSE),"")</f>
        <v/>
      </c>
      <c r="D571" s="72" t="str">
        <f>IF(A571&lt;&gt;"",VLOOKUP(A571,'EDC - PRODUCTION'!$A$7:$I$49,4,FALSE),"")</f>
        <v/>
      </c>
      <c r="E571" s="44"/>
      <c r="F571" s="45" t="str">
        <f t="shared" si="26"/>
        <v/>
      </c>
      <c r="G571" s="56" t="str">
        <f t="shared" si="27"/>
        <v/>
      </c>
      <c r="H571" s="73"/>
      <c r="I571" s="73"/>
      <c r="J571" s="112" t="str">
        <f t="shared" si="28"/>
        <v/>
      </c>
      <c r="K571" s="68"/>
    </row>
    <row r="572" spans="1:11" x14ac:dyDescent="0.2">
      <c r="A572" s="108"/>
      <c r="B572" s="72" t="str">
        <f>IF(A572&lt;&gt;"",'EDC - PARAMETRAGE'!$A$3,"")</f>
        <v/>
      </c>
      <c r="C572" s="72" t="str">
        <f>IF(A572&lt;&gt;"",VLOOKUP(A572,'EDC - PRODUCTION'!$A$7:$E$49,5,FALSE),"")</f>
        <v/>
      </c>
      <c r="D572" s="72" t="str">
        <f>IF(A572&lt;&gt;"",VLOOKUP(A572,'EDC - PRODUCTION'!$A$7:$I$49,4,FALSE),"")</f>
        <v/>
      </c>
      <c r="E572" s="44"/>
      <c r="F572" s="45" t="str">
        <f t="shared" si="26"/>
        <v/>
      </c>
      <c r="G572" s="56" t="str">
        <f t="shared" si="27"/>
        <v/>
      </c>
      <c r="H572" s="73"/>
      <c r="I572" s="73"/>
      <c r="J572" s="112" t="str">
        <f t="shared" si="28"/>
        <v/>
      </c>
      <c r="K572" s="68"/>
    </row>
    <row r="573" spans="1:11" x14ac:dyDescent="0.2">
      <c r="A573" s="108"/>
      <c r="B573" s="72" t="str">
        <f>IF(A573&lt;&gt;"",'EDC - PARAMETRAGE'!$A$3,"")</f>
        <v/>
      </c>
      <c r="C573" s="72" t="str">
        <f>IF(A573&lt;&gt;"",VLOOKUP(A573,'EDC - PRODUCTION'!$A$7:$E$49,5,FALSE),"")</f>
        <v/>
      </c>
      <c r="D573" s="72" t="str">
        <f>IF(A573&lt;&gt;"",VLOOKUP(A573,'EDC - PRODUCTION'!$A$7:$I$49,4,FALSE),"")</f>
        <v/>
      </c>
      <c r="E573" s="44"/>
      <c r="F573" s="45" t="str">
        <f t="shared" si="26"/>
        <v/>
      </c>
      <c r="G573" s="56" t="str">
        <f t="shared" si="27"/>
        <v/>
      </c>
      <c r="H573" s="73"/>
      <c r="I573" s="73"/>
      <c r="J573" s="112" t="str">
        <f t="shared" si="28"/>
        <v/>
      </c>
      <c r="K573" s="68"/>
    </row>
    <row r="574" spans="1:11" x14ac:dyDescent="0.2">
      <c r="A574" s="108"/>
      <c r="B574" s="72" t="str">
        <f>IF(A574&lt;&gt;"",'EDC - PARAMETRAGE'!$A$3,"")</f>
        <v/>
      </c>
      <c r="C574" s="72" t="str">
        <f>IF(A574&lt;&gt;"",VLOOKUP(A574,'EDC - PRODUCTION'!$A$7:$E$49,5,FALSE),"")</f>
        <v/>
      </c>
      <c r="D574" s="72" t="str">
        <f>IF(A574&lt;&gt;"",VLOOKUP(A574,'EDC - PRODUCTION'!$A$7:$I$49,4,FALSE),"")</f>
        <v/>
      </c>
      <c r="E574" s="44"/>
      <c r="F574" s="45" t="str">
        <f t="shared" si="26"/>
        <v/>
      </c>
      <c r="G574" s="56" t="str">
        <f t="shared" si="27"/>
        <v/>
      </c>
      <c r="H574" s="73"/>
      <c r="I574" s="73"/>
      <c r="J574" s="112" t="str">
        <f t="shared" si="28"/>
        <v/>
      </c>
      <c r="K574" s="68"/>
    </row>
    <row r="575" spans="1:11" x14ac:dyDescent="0.2">
      <c r="A575" s="108"/>
      <c r="B575" s="72" t="str">
        <f>IF(A575&lt;&gt;"",'EDC - PARAMETRAGE'!$A$3,"")</f>
        <v/>
      </c>
      <c r="C575" s="72" t="str">
        <f>IF(A575&lt;&gt;"",VLOOKUP(A575,'EDC - PRODUCTION'!$A$7:$E$49,5,FALSE),"")</f>
        <v/>
      </c>
      <c r="D575" s="72" t="str">
        <f>IF(A575&lt;&gt;"",VLOOKUP(A575,'EDC - PRODUCTION'!$A$7:$I$49,4,FALSE),"")</f>
        <v/>
      </c>
      <c r="E575" s="44"/>
      <c r="F575" s="45" t="str">
        <f t="shared" si="26"/>
        <v/>
      </c>
      <c r="G575" s="56" t="str">
        <f t="shared" si="27"/>
        <v/>
      </c>
      <c r="H575" s="73"/>
      <c r="I575" s="73"/>
      <c r="J575" s="112" t="str">
        <f t="shared" si="28"/>
        <v/>
      </c>
      <c r="K575" s="68"/>
    </row>
    <row r="576" spans="1:11" x14ac:dyDescent="0.2">
      <c r="A576" s="108"/>
      <c r="B576" s="72" t="str">
        <f>IF(A576&lt;&gt;"",'EDC - PARAMETRAGE'!$A$3,"")</f>
        <v/>
      </c>
      <c r="C576" s="72" t="str">
        <f>IF(A576&lt;&gt;"",VLOOKUP(A576,'EDC - PRODUCTION'!$A$7:$E$49,5,FALSE),"")</f>
        <v/>
      </c>
      <c r="D576" s="72" t="str">
        <f>IF(A576&lt;&gt;"",VLOOKUP(A576,'EDC - PRODUCTION'!$A$7:$I$49,4,FALSE),"")</f>
        <v/>
      </c>
      <c r="E576" s="44"/>
      <c r="F576" s="45" t="str">
        <f t="shared" si="26"/>
        <v/>
      </c>
      <c r="G576" s="56" t="str">
        <f t="shared" si="27"/>
        <v/>
      </c>
      <c r="H576" s="73"/>
      <c r="I576" s="73"/>
      <c r="J576" s="112" t="str">
        <f t="shared" si="28"/>
        <v/>
      </c>
      <c r="K576" s="68"/>
    </row>
    <row r="577" spans="1:11" x14ac:dyDescent="0.2">
      <c r="A577" s="108"/>
      <c r="B577" s="72" t="str">
        <f>IF(A577&lt;&gt;"",'EDC - PARAMETRAGE'!$A$3,"")</f>
        <v/>
      </c>
      <c r="C577" s="72" t="str">
        <f>IF(A577&lt;&gt;"",VLOOKUP(A577,'EDC - PRODUCTION'!$A$7:$E$49,5,FALSE),"")</f>
        <v/>
      </c>
      <c r="D577" s="72" t="str">
        <f>IF(A577&lt;&gt;"",VLOOKUP(A577,'EDC - PRODUCTION'!$A$7:$I$49,4,FALSE),"")</f>
        <v/>
      </c>
      <c r="E577" s="44"/>
      <c r="F577" s="45" t="str">
        <f t="shared" si="26"/>
        <v/>
      </c>
      <c r="G577" s="56" t="str">
        <f t="shared" si="27"/>
        <v/>
      </c>
      <c r="H577" s="73"/>
      <c r="I577" s="73"/>
      <c r="J577" s="112" t="str">
        <f t="shared" si="28"/>
        <v/>
      </c>
      <c r="K577" s="68"/>
    </row>
    <row r="578" spans="1:11" x14ac:dyDescent="0.2">
      <c r="A578" s="108"/>
      <c r="B578" s="72" t="str">
        <f>IF(A578&lt;&gt;"",'EDC - PARAMETRAGE'!$A$3,"")</f>
        <v/>
      </c>
      <c r="C578" s="72" t="str">
        <f>IF(A578&lt;&gt;"",VLOOKUP(A578,'EDC - PRODUCTION'!$A$7:$E$49,5,FALSE),"")</f>
        <v/>
      </c>
      <c r="D578" s="72" t="str">
        <f>IF(A578&lt;&gt;"",VLOOKUP(A578,'EDC - PRODUCTION'!$A$7:$I$49,4,FALSE),"")</f>
        <v/>
      </c>
      <c r="E578" s="44"/>
      <c r="F578" s="45" t="str">
        <f t="shared" si="26"/>
        <v/>
      </c>
      <c r="G578" s="56" t="str">
        <f t="shared" si="27"/>
        <v/>
      </c>
      <c r="H578" s="73"/>
      <c r="I578" s="73"/>
      <c r="J578" s="112" t="str">
        <f t="shared" si="28"/>
        <v/>
      </c>
      <c r="K578" s="68"/>
    </row>
    <row r="579" spans="1:11" x14ac:dyDescent="0.2">
      <c r="A579" s="108"/>
      <c r="B579" s="72" t="str">
        <f>IF(A579&lt;&gt;"",'EDC - PARAMETRAGE'!$A$3,"")</f>
        <v/>
      </c>
      <c r="C579" s="72" t="str">
        <f>IF(A579&lt;&gt;"",VLOOKUP(A579,'EDC - PRODUCTION'!$A$7:$E$49,5,FALSE),"")</f>
        <v/>
      </c>
      <c r="D579" s="72" t="str">
        <f>IF(A579&lt;&gt;"",VLOOKUP(A579,'EDC - PRODUCTION'!$A$7:$I$49,4,FALSE),"")</f>
        <v/>
      </c>
      <c r="E579" s="44"/>
      <c r="F579" s="45" t="str">
        <f t="shared" si="26"/>
        <v/>
      </c>
      <c r="G579" s="56" t="str">
        <f t="shared" si="27"/>
        <v/>
      </c>
      <c r="H579" s="73"/>
      <c r="I579" s="73"/>
      <c r="J579" s="112" t="str">
        <f t="shared" si="28"/>
        <v/>
      </c>
      <c r="K579" s="68"/>
    </row>
    <row r="580" spans="1:11" x14ac:dyDescent="0.2">
      <c r="A580" s="108"/>
      <c r="B580" s="72" t="str">
        <f>IF(A580&lt;&gt;"",'EDC - PARAMETRAGE'!$A$3,"")</f>
        <v/>
      </c>
      <c r="C580" s="72" t="str">
        <f>IF(A580&lt;&gt;"",VLOOKUP(A580,'EDC - PRODUCTION'!$A$7:$E$49,5,FALSE),"")</f>
        <v/>
      </c>
      <c r="D580" s="72" t="str">
        <f>IF(A580&lt;&gt;"",VLOOKUP(A580,'EDC - PRODUCTION'!$A$7:$I$49,4,FALSE),"")</f>
        <v/>
      </c>
      <c r="E580" s="44"/>
      <c r="F580" s="45" t="str">
        <f t="shared" ref="F580:F643" si="29">IF(A580&lt;&gt;"","DDE","")</f>
        <v/>
      </c>
      <c r="G580" s="56" t="str">
        <f t="shared" ref="G580:G643" si="30">IF(A580&lt;&gt;"",1,"")</f>
        <v/>
      </c>
      <c r="H580" s="73"/>
      <c r="I580" s="73"/>
      <c r="J580" s="112" t="str">
        <f t="shared" ref="J580:J643" si="31">IF(A580&lt;&gt;"",SUM(H580:I580),"")</f>
        <v/>
      </c>
      <c r="K580" s="68"/>
    </row>
    <row r="581" spans="1:11" x14ac:dyDescent="0.2">
      <c r="A581" s="108"/>
      <c r="B581" s="72" t="str">
        <f>IF(A581&lt;&gt;"",'EDC - PARAMETRAGE'!$A$3,"")</f>
        <v/>
      </c>
      <c r="C581" s="72" t="str">
        <f>IF(A581&lt;&gt;"",VLOOKUP(A581,'EDC - PRODUCTION'!$A$7:$E$49,5,FALSE),"")</f>
        <v/>
      </c>
      <c r="D581" s="72" t="str">
        <f>IF(A581&lt;&gt;"",VLOOKUP(A581,'EDC - PRODUCTION'!$A$7:$I$49,4,FALSE),"")</f>
        <v/>
      </c>
      <c r="E581" s="44"/>
      <c r="F581" s="45" t="str">
        <f t="shared" si="29"/>
        <v/>
      </c>
      <c r="G581" s="56" t="str">
        <f t="shared" si="30"/>
        <v/>
      </c>
      <c r="H581" s="73"/>
      <c r="I581" s="73"/>
      <c r="J581" s="112" t="str">
        <f t="shared" si="31"/>
        <v/>
      </c>
      <c r="K581" s="68"/>
    </row>
    <row r="582" spans="1:11" x14ac:dyDescent="0.2">
      <c r="A582" s="108"/>
      <c r="B582" s="72" t="str">
        <f>IF(A582&lt;&gt;"",'EDC - PARAMETRAGE'!$A$3,"")</f>
        <v/>
      </c>
      <c r="C582" s="72" t="str">
        <f>IF(A582&lt;&gt;"",VLOOKUP(A582,'EDC - PRODUCTION'!$A$7:$E$49,5,FALSE),"")</f>
        <v/>
      </c>
      <c r="D582" s="72" t="str">
        <f>IF(A582&lt;&gt;"",VLOOKUP(A582,'EDC - PRODUCTION'!$A$7:$I$49,4,FALSE),"")</f>
        <v/>
      </c>
      <c r="E582" s="44"/>
      <c r="F582" s="45" t="str">
        <f t="shared" si="29"/>
        <v/>
      </c>
      <c r="G582" s="56" t="str">
        <f t="shared" si="30"/>
        <v/>
      </c>
      <c r="H582" s="73"/>
      <c r="I582" s="73"/>
      <c r="J582" s="112" t="str">
        <f t="shared" si="31"/>
        <v/>
      </c>
      <c r="K582" s="68"/>
    </row>
    <row r="583" spans="1:11" x14ac:dyDescent="0.2">
      <c r="A583" s="108"/>
      <c r="B583" s="72" t="str">
        <f>IF(A583&lt;&gt;"",'EDC - PARAMETRAGE'!$A$3,"")</f>
        <v/>
      </c>
      <c r="C583" s="72" t="str">
        <f>IF(A583&lt;&gt;"",VLOOKUP(A583,'EDC - PRODUCTION'!$A$7:$E$49,5,FALSE),"")</f>
        <v/>
      </c>
      <c r="D583" s="72" t="str">
        <f>IF(A583&lt;&gt;"",VLOOKUP(A583,'EDC - PRODUCTION'!$A$7:$I$49,4,FALSE),"")</f>
        <v/>
      </c>
      <c r="E583" s="44"/>
      <c r="F583" s="45" t="str">
        <f t="shared" si="29"/>
        <v/>
      </c>
      <c r="G583" s="56" t="str">
        <f t="shared" si="30"/>
        <v/>
      </c>
      <c r="H583" s="73"/>
      <c r="I583" s="73"/>
      <c r="J583" s="112" t="str">
        <f t="shared" si="31"/>
        <v/>
      </c>
      <c r="K583" s="68"/>
    </row>
    <row r="584" spans="1:11" x14ac:dyDescent="0.2">
      <c r="A584" s="108"/>
      <c r="B584" s="72" t="str">
        <f>IF(A584&lt;&gt;"",'EDC - PARAMETRAGE'!$A$3,"")</f>
        <v/>
      </c>
      <c r="C584" s="72" t="str">
        <f>IF(A584&lt;&gt;"",VLOOKUP(A584,'EDC - PRODUCTION'!$A$7:$E$49,5,FALSE),"")</f>
        <v/>
      </c>
      <c r="D584" s="72" t="str">
        <f>IF(A584&lt;&gt;"",VLOOKUP(A584,'EDC - PRODUCTION'!$A$7:$I$49,4,FALSE),"")</f>
        <v/>
      </c>
      <c r="E584" s="44"/>
      <c r="F584" s="45" t="str">
        <f t="shared" si="29"/>
        <v/>
      </c>
      <c r="G584" s="56" t="str">
        <f t="shared" si="30"/>
        <v/>
      </c>
      <c r="H584" s="73"/>
      <c r="I584" s="73"/>
      <c r="J584" s="112" t="str">
        <f t="shared" si="31"/>
        <v/>
      </c>
      <c r="K584" s="68"/>
    </row>
    <row r="585" spans="1:11" x14ac:dyDescent="0.2">
      <c r="A585" s="108"/>
      <c r="B585" s="72" t="str">
        <f>IF(A585&lt;&gt;"",'EDC - PARAMETRAGE'!$A$3,"")</f>
        <v/>
      </c>
      <c r="C585" s="72" t="str">
        <f>IF(A585&lt;&gt;"",VLOOKUP(A585,'EDC - PRODUCTION'!$A$7:$E$49,5,FALSE),"")</f>
        <v/>
      </c>
      <c r="D585" s="72" t="str">
        <f>IF(A585&lt;&gt;"",VLOOKUP(A585,'EDC - PRODUCTION'!$A$7:$I$49,4,FALSE),"")</f>
        <v/>
      </c>
      <c r="E585" s="44"/>
      <c r="F585" s="45" t="str">
        <f t="shared" si="29"/>
        <v/>
      </c>
      <c r="G585" s="56" t="str">
        <f t="shared" si="30"/>
        <v/>
      </c>
      <c r="H585" s="73"/>
      <c r="I585" s="73"/>
      <c r="J585" s="112" t="str">
        <f t="shared" si="31"/>
        <v/>
      </c>
      <c r="K585" s="68"/>
    </row>
    <row r="586" spans="1:11" x14ac:dyDescent="0.2">
      <c r="A586" s="108"/>
      <c r="B586" s="72" t="str">
        <f>IF(A586&lt;&gt;"",'EDC - PARAMETRAGE'!$A$3,"")</f>
        <v/>
      </c>
      <c r="C586" s="72" t="str">
        <f>IF(A586&lt;&gt;"",VLOOKUP(A586,'EDC - PRODUCTION'!$A$7:$E$49,5,FALSE),"")</f>
        <v/>
      </c>
      <c r="D586" s="72" t="str">
        <f>IF(A586&lt;&gt;"",VLOOKUP(A586,'EDC - PRODUCTION'!$A$7:$I$49,4,FALSE),"")</f>
        <v/>
      </c>
      <c r="E586" s="44"/>
      <c r="F586" s="45" t="str">
        <f t="shared" si="29"/>
        <v/>
      </c>
      <c r="G586" s="56" t="str">
        <f t="shared" si="30"/>
        <v/>
      </c>
      <c r="H586" s="73"/>
      <c r="I586" s="73"/>
      <c r="J586" s="112" t="str">
        <f t="shared" si="31"/>
        <v/>
      </c>
      <c r="K586" s="68"/>
    </row>
    <row r="587" spans="1:11" x14ac:dyDescent="0.2">
      <c r="A587" s="108"/>
      <c r="B587" s="72" t="str">
        <f>IF(A587&lt;&gt;"",'EDC - PARAMETRAGE'!$A$3,"")</f>
        <v/>
      </c>
      <c r="C587" s="72" t="str">
        <f>IF(A587&lt;&gt;"",VLOOKUP(A587,'EDC - PRODUCTION'!$A$7:$E$49,5,FALSE),"")</f>
        <v/>
      </c>
      <c r="D587" s="72" t="str">
        <f>IF(A587&lt;&gt;"",VLOOKUP(A587,'EDC - PRODUCTION'!$A$7:$I$49,4,FALSE),"")</f>
        <v/>
      </c>
      <c r="E587" s="44"/>
      <c r="F587" s="45" t="str">
        <f t="shared" si="29"/>
        <v/>
      </c>
      <c r="G587" s="56" t="str">
        <f t="shared" si="30"/>
        <v/>
      </c>
      <c r="H587" s="73"/>
      <c r="I587" s="73"/>
      <c r="J587" s="112" t="str">
        <f t="shared" si="31"/>
        <v/>
      </c>
      <c r="K587" s="68"/>
    </row>
    <row r="588" spans="1:11" x14ac:dyDescent="0.2">
      <c r="A588" s="108"/>
      <c r="B588" s="72" t="str">
        <f>IF(A588&lt;&gt;"",'EDC - PARAMETRAGE'!$A$3,"")</f>
        <v/>
      </c>
      <c r="C588" s="72" t="str">
        <f>IF(A588&lt;&gt;"",VLOOKUP(A588,'EDC - PRODUCTION'!$A$7:$E$49,5,FALSE),"")</f>
        <v/>
      </c>
      <c r="D588" s="72" t="str">
        <f>IF(A588&lt;&gt;"",VLOOKUP(A588,'EDC - PRODUCTION'!$A$7:$I$49,4,FALSE),"")</f>
        <v/>
      </c>
      <c r="E588" s="44"/>
      <c r="F588" s="45" t="str">
        <f t="shared" si="29"/>
        <v/>
      </c>
      <c r="G588" s="56" t="str">
        <f t="shared" si="30"/>
        <v/>
      </c>
      <c r="H588" s="73"/>
      <c r="I588" s="73"/>
      <c r="J588" s="112" t="str">
        <f t="shared" si="31"/>
        <v/>
      </c>
      <c r="K588" s="68"/>
    </row>
    <row r="589" spans="1:11" x14ac:dyDescent="0.2">
      <c r="A589" s="108"/>
      <c r="B589" s="72" t="str">
        <f>IF(A589&lt;&gt;"",'EDC - PARAMETRAGE'!$A$3,"")</f>
        <v/>
      </c>
      <c r="C589" s="72" t="str">
        <f>IF(A589&lt;&gt;"",VLOOKUP(A589,'EDC - PRODUCTION'!$A$7:$E$49,5,FALSE),"")</f>
        <v/>
      </c>
      <c r="D589" s="72" t="str">
        <f>IF(A589&lt;&gt;"",VLOOKUP(A589,'EDC - PRODUCTION'!$A$7:$I$49,4,FALSE),"")</f>
        <v/>
      </c>
      <c r="E589" s="44"/>
      <c r="F589" s="45" t="str">
        <f t="shared" si="29"/>
        <v/>
      </c>
      <c r="G589" s="56" t="str">
        <f t="shared" si="30"/>
        <v/>
      </c>
      <c r="H589" s="73"/>
      <c r="I589" s="73"/>
      <c r="J589" s="112" t="str">
        <f t="shared" si="31"/>
        <v/>
      </c>
      <c r="K589" s="68"/>
    </row>
    <row r="590" spans="1:11" x14ac:dyDescent="0.2">
      <c r="A590" s="108"/>
      <c r="B590" s="72" t="str">
        <f>IF(A590&lt;&gt;"",'EDC - PARAMETRAGE'!$A$3,"")</f>
        <v/>
      </c>
      <c r="C590" s="72" t="str">
        <f>IF(A590&lt;&gt;"",VLOOKUP(A590,'EDC - PRODUCTION'!$A$7:$E$49,5,FALSE),"")</f>
        <v/>
      </c>
      <c r="D590" s="72" t="str">
        <f>IF(A590&lt;&gt;"",VLOOKUP(A590,'EDC - PRODUCTION'!$A$7:$I$49,4,FALSE),"")</f>
        <v/>
      </c>
      <c r="E590" s="44"/>
      <c r="F590" s="45" t="str">
        <f t="shared" si="29"/>
        <v/>
      </c>
      <c r="G590" s="56" t="str">
        <f t="shared" si="30"/>
        <v/>
      </c>
      <c r="H590" s="73"/>
      <c r="I590" s="73"/>
      <c r="J590" s="112" t="str">
        <f t="shared" si="31"/>
        <v/>
      </c>
      <c r="K590" s="68"/>
    </row>
    <row r="591" spans="1:11" x14ac:dyDescent="0.2">
      <c r="A591" s="108"/>
      <c r="B591" s="72" t="str">
        <f>IF(A591&lt;&gt;"",'EDC - PARAMETRAGE'!$A$3,"")</f>
        <v/>
      </c>
      <c r="C591" s="72" t="str">
        <f>IF(A591&lt;&gt;"",VLOOKUP(A591,'EDC - PRODUCTION'!$A$7:$E$49,5,FALSE),"")</f>
        <v/>
      </c>
      <c r="D591" s="72" t="str">
        <f>IF(A591&lt;&gt;"",VLOOKUP(A591,'EDC - PRODUCTION'!$A$7:$I$49,4,FALSE),"")</f>
        <v/>
      </c>
      <c r="E591" s="44"/>
      <c r="F591" s="45" t="str">
        <f t="shared" si="29"/>
        <v/>
      </c>
      <c r="G591" s="56" t="str">
        <f t="shared" si="30"/>
        <v/>
      </c>
      <c r="H591" s="73"/>
      <c r="I591" s="73"/>
      <c r="J591" s="112" t="str">
        <f t="shared" si="31"/>
        <v/>
      </c>
      <c r="K591" s="68"/>
    </row>
    <row r="592" spans="1:11" x14ac:dyDescent="0.2">
      <c r="A592" s="108"/>
      <c r="B592" s="72" t="str">
        <f>IF(A592&lt;&gt;"",'EDC - PARAMETRAGE'!$A$3,"")</f>
        <v/>
      </c>
      <c r="C592" s="72" t="str">
        <f>IF(A592&lt;&gt;"",VLOOKUP(A592,'EDC - PRODUCTION'!$A$7:$E$49,5,FALSE),"")</f>
        <v/>
      </c>
      <c r="D592" s="72" t="str">
        <f>IF(A592&lt;&gt;"",VLOOKUP(A592,'EDC - PRODUCTION'!$A$7:$I$49,4,FALSE),"")</f>
        <v/>
      </c>
      <c r="E592" s="44"/>
      <c r="F592" s="45" t="str">
        <f t="shared" si="29"/>
        <v/>
      </c>
      <c r="G592" s="56" t="str">
        <f t="shared" si="30"/>
        <v/>
      </c>
      <c r="H592" s="73"/>
      <c r="I592" s="73"/>
      <c r="J592" s="112" t="str">
        <f t="shared" si="31"/>
        <v/>
      </c>
      <c r="K592" s="68"/>
    </row>
    <row r="593" spans="1:11" x14ac:dyDescent="0.2">
      <c r="A593" s="108"/>
      <c r="B593" s="72" t="str">
        <f>IF(A593&lt;&gt;"",'EDC - PARAMETRAGE'!$A$3,"")</f>
        <v/>
      </c>
      <c r="C593" s="72" t="str">
        <f>IF(A593&lt;&gt;"",VLOOKUP(A593,'EDC - PRODUCTION'!$A$7:$E$49,5,FALSE),"")</f>
        <v/>
      </c>
      <c r="D593" s="72" t="str">
        <f>IF(A593&lt;&gt;"",VLOOKUP(A593,'EDC - PRODUCTION'!$A$7:$I$49,4,FALSE),"")</f>
        <v/>
      </c>
      <c r="E593" s="44"/>
      <c r="F593" s="45" t="str">
        <f t="shared" si="29"/>
        <v/>
      </c>
      <c r="G593" s="56" t="str">
        <f t="shared" si="30"/>
        <v/>
      </c>
      <c r="H593" s="73"/>
      <c r="I593" s="73"/>
      <c r="J593" s="112" t="str">
        <f t="shared" si="31"/>
        <v/>
      </c>
      <c r="K593" s="68"/>
    </row>
    <row r="594" spans="1:11" x14ac:dyDescent="0.2">
      <c r="A594" s="108"/>
      <c r="B594" s="72" t="str">
        <f>IF(A594&lt;&gt;"",'EDC - PARAMETRAGE'!$A$3,"")</f>
        <v/>
      </c>
      <c r="C594" s="72" t="str">
        <f>IF(A594&lt;&gt;"",VLOOKUP(A594,'EDC - PRODUCTION'!$A$7:$E$49,5,FALSE),"")</f>
        <v/>
      </c>
      <c r="D594" s="72" t="str">
        <f>IF(A594&lt;&gt;"",VLOOKUP(A594,'EDC - PRODUCTION'!$A$7:$I$49,4,FALSE),"")</f>
        <v/>
      </c>
      <c r="E594" s="44"/>
      <c r="F594" s="45" t="str">
        <f t="shared" si="29"/>
        <v/>
      </c>
      <c r="G594" s="56" t="str">
        <f t="shared" si="30"/>
        <v/>
      </c>
      <c r="H594" s="73"/>
      <c r="I594" s="73"/>
      <c r="J594" s="112" t="str">
        <f t="shared" si="31"/>
        <v/>
      </c>
      <c r="K594" s="68"/>
    </row>
    <row r="595" spans="1:11" x14ac:dyDescent="0.2">
      <c r="A595" s="108"/>
      <c r="B595" s="72" t="str">
        <f>IF(A595&lt;&gt;"",'EDC - PARAMETRAGE'!$A$3,"")</f>
        <v/>
      </c>
      <c r="C595" s="72" t="str">
        <f>IF(A595&lt;&gt;"",VLOOKUP(A595,'EDC - PRODUCTION'!$A$7:$E$49,5,FALSE),"")</f>
        <v/>
      </c>
      <c r="D595" s="72" t="str">
        <f>IF(A595&lt;&gt;"",VLOOKUP(A595,'EDC - PRODUCTION'!$A$7:$I$49,4,FALSE),"")</f>
        <v/>
      </c>
      <c r="E595" s="44"/>
      <c r="F595" s="45" t="str">
        <f t="shared" si="29"/>
        <v/>
      </c>
      <c r="G595" s="56" t="str">
        <f t="shared" si="30"/>
        <v/>
      </c>
      <c r="H595" s="73"/>
      <c r="I595" s="73"/>
      <c r="J595" s="112" t="str">
        <f t="shared" si="31"/>
        <v/>
      </c>
      <c r="K595" s="68"/>
    </row>
    <row r="596" spans="1:11" x14ac:dyDescent="0.2">
      <c r="A596" s="108"/>
      <c r="B596" s="72" t="str">
        <f>IF(A596&lt;&gt;"",'EDC - PARAMETRAGE'!$A$3,"")</f>
        <v/>
      </c>
      <c r="C596" s="72" t="str">
        <f>IF(A596&lt;&gt;"",VLOOKUP(A596,'EDC - PRODUCTION'!$A$7:$E$49,5,FALSE),"")</f>
        <v/>
      </c>
      <c r="D596" s="72" t="str">
        <f>IF(A596&lt;&gt;"",VLOOKUP(A596,'EDC - PRODUCTION'!$A$7:$I$49,4,FALSE),"")</f>
        <v/>
      </c>
      <c r="E596" s="44"/>
      <c r="F596" s="45" t="str">
        <f t="shared" si="29"/>
        <v/>
      </c>
      <c r="G596" s="56" t="str">
        <f t="shared" si="30"/>
        <v/>
      </c>
      <c r="H596" s="73"/>
      <c r="I596" s="73"/>
      <c r="J596" s="112" t="str">
        <f t="shared" si="31"/>
        <v/>
      </c>
      <c r="K596" s="68"/>
    </row>
    <row r="597" spans="1:11" x14ac:dyDescent="0.2">
      <c r="A597" s="108"/>
      <c r="B597" s="72" t="str">
        <f>IF(A597&lt;&gt;"",'EDC - PARAMETRAGE'!$A$3,"")</f>
        <v/>
      </c>
      <c r="C597" s="72" t="str">
        <f>IF(A597&lt;&gt;"",VLOOKUP(A597,'EDC - PRODUCTION'!$A$7:$E$49,5,FALSE),"")</f>
        <v/>
      </c>
      <c r="D597" s="72" t="str">
        <f>IF(A597&lt;&gt;"",VLOOKUP(A597,'EDC - PRODUCTION'!$A$7:$I$49,4,FALSE),"")</f>
        <v/>
      </c>
      <c r="E597" s="44"/>
      <c r="F597" s="45" t="str">
        <f t="shared" si="29"/>
        <v/>
      </c>
      <c r="G597" s="56" t="str">
        <f t="shared" si="30"/>
        <v/>
      </c>
      <c r="H597" s="73"/>
      <c r="I597" s="73"/>
      <c r="J597" s="112" t="str">
        <f t="shared" si="31"/>
        <v/>
      </c>
      <c r="K597" s="68"/>
    </row>
    <row r="598" spans="1:11" x14ac:dyDescent="0.2">
      <c r="A598" s="108"/>
      <c r="B598" s="72" t="str">
        <f>IF(A598&lt;&gt;"",'EDC - PARAMETRAGE'!$A$3,"")</f>
        <v/>
      </c>
      <c r="C598" s="72" t="str">
        <f>IF(A598&lt;&gt;"",VLOOKUP(A598,'EDC - PRODUCTION'!$A$7:$E$49,5,FALSE),"")</f>
        <v/>
      </c>
      <c r="D598" s="72" t="str">
        <f>IF(A598&lt;&gt;"",VLOOKUP(A598,'EDC - PRODUCTION'!$A$7:$I$49,4,FALSE),"")</f>
        <v/>
      </c>
      <c r="E598" s="44"/>
      <c r="F598" s="45" t="str">
        <f t="shared" si="29"/>
        <v/>
      </c>
      <c r="G598" s="56" t="str">
        <f t="shared" si="30"/>
        <v/>
      </c>
      <c r="H598" s="73"/>
      <c r="I598" s="73"/>
      <c r="J598" s="112" t="str">
        <f t="shared" si="31"/>
        <v/>
      </c>
      <c r="K598" s="68"/>
    </row>
    <row r="599" spans="1:11" x14ac:dyDescent="0.2">
      <c r="A599" s="108"/>
      <c r="B599" s="72" t="str">
        <f>IF(A599&lt;&gt;"",'EDC - PARAMETRAGE'!$A$3,"")</f>
        <v/>
      </c>
      <c r="C599" s="72" t="str">
        <f>IF(A599&lt;&gt;"",VLOOKUP(A599,'EDC - PRODUCTION'!$A$7:$E$49,5,FALSE),"")</f>
        <v/>
      </c>
      <c r="D599" s="72" t="str">
        <f>IF(A599&lt;&gt;"",VLOOKUP(A599,'EDC - PRODUCTION'!$A$7:$I$49,4,FALSE),"")</f>
        <v/>
      </c>
      <c r="E599" s="44"/>
      <c r="F599" s="45" t="str">
        <f t="shared" si="29"/>
        <v/>
      </c>
      <c r="G599" s="56" t="str">
        <f t="shared" si="30"/>
        <v/>
      </c>
      <c r="H599" s="73"/>
      <c r="I599" s="73"/>
      <c r="J599" s="112" t="str">
        <f t="shared" si="31"/>
        <v/>
      </c>
      <c r="K599" s="68"/>
    </row>
    <row r="600" spans="1:11" x14ac:dyDescent="0.2">
      <c r="A600" s="108"/>
      <c r="B600" s="72" t="str">
        <f>IF(A600&lt;&gt;"",'EDC - PARAMETRAGE'!$A$3,"")</f>
        <v/>
      </c>
      <c r="C600" s="72" t="str">
        <f>IF(A600&lt;&gt;"",VLOOKUP(A600,'EDC - PRODUCTION'!$A$7:$E$49,5,FALSE),"")</f>
        <v/>
      </c>
      <c r="D600" s="72" t="str">
        <f>IF(A600&lt;&gt;"",VLOOKUP(A600,'EDC - PRODUCTION'!$A$7:$I$49,4,FALSE),"")</f>
        <v/>
      </c>
      <c r="E600" s="44"/>
      <c r="F600" s="45" t="str">
        <f t="shared" si="29"/>
        <v/>
      </c>
      <c r="G600" s="56" t="str">
        <f t="shared" si="30"/>
        <v/>
      </c>
      <c r="H600" s="73"/>
      <c r="I600" s="73"/>
      <c r="J600" s="112" t="str">
        <f t="shared" si="31"/>
        <v/>
      </c>
      <c r="K600" s="68"/>
    </row>
    <row r="601" spans="1:11" x14ac:dyDescent="0.2">
      <c r="A601" s="108"/>
      <c r="B601" s="72" t="str">
        <f>IF(A601&lt;&gt;"",'EDC - PARAMETRAGE'!$A$3,"")</f>
        <v/>
      </c>
      <c r="C601" s="72" t="str">
        <f>IF(A601&lt;&gt;"",VLOOKUP(A601,'EDC - PRODUCTION'!$A$7:$E$49,5,FALSE),"")</f>
        <v/>
      </c>
      <c r="D601" s="72" t="str">
        <f>IF(A601&lt;&gt;"",VLOOKUP(A601,'EDC - PRODUCTION'!$A$7:$I$49,4,FALSE),"")</f>
        <v/>
      </c>
      <c r="E601" s="44"/>
      <c r="F601" s="45" t="str">
        <f t="shared" si="29"/>
        <v/>
      </c>
      <c r="G601" s="56" t="str">
        <f t="shared" si="30"/>
        <v/>
      </c>
      <c r="H601" s="73"/>
      <c r="I601" s="73"/>
      <c r="J601" s="112" t="str">
        <f t="shared" si="31"/>
        <v/>
      </c>
      <c r="K601" s="68"/>
    </row>
    <row r="602" spans="1:11" x14ac:dyDescent="0.2">
      <c r="A602" s="108"/>
      <c r="B602" s="72" t="str">
        <f>IF(A602&lt;&gt;"",'EDC - PARAMETRAGE'!$A$3,"")</f>
        <v/>
      </c>
      <c r="C602" s="72" t="str">
        <f>IF(A602&lt;&gt;"",VLOOKUP(A602,'EDC - PRODUCTION'!$A$7:$E$49,5,FALSE),"")</f>
        <v/>
      </c>
      <c r="D602" s="72" t="str">
        <f>IF(A602&lt;&gt;"",VLOOKUP(A602,'EDC - PRODUCTION'!$A$7:$I$49,4,FALSE),"")</f>
        <v/>
      </c>
      <c r="E602" s="44"/>
      <c r="F602" s="45" t="str">
        <f t="shared" si="29"/>
        <v/>
      </c>
      <c r="G602" s="56" t="str">
        <f t="shared" si="30"/>
        <v/>
      </c>
      <c r="H602" s="73"/>
      <c r="I602" s="73"/>
      <c r="J602" s="112" t="str">
        <f t="shared" si="31"/>
        <v/>
      </c>
      <c r="K602" s="68"/>
    </row>
    <row r="603" spans="1:11" x14ac:dyDescent="0.2">
      <c r="A603" s="108"/>
      <c r="B603" s="72" t="str">
        <f>IF(A603&lt;&gt;"",'EDC - PARAMETRAGE'!$A$3,"")</f>
        <v/>
      </c>
      <c r="C603" s="72" t="str">
        <f>IF(A603&lt;&gt;"",VLOOKUP(A603,'EDC - PRODUCTION'!$A$7:$E$49,5,FALSE),"")</f>
        <v/>
      </c>
      <c r="D603" s="72" t="str">
        <f>IF(A603&lt;&gt;"",VLOOKUP(A603,'EDC - PRODUCTION'!$A$7:$I$49,4,FALSE),"")</f>
        <v/>
      </c>
      <c r="E603" s="44"/>
      <c r="F603" s="45" t="str">
        <f t="shared" si="29"/>
        <v/>
      </c>
      <c r="G603" s="56" t="str">
        <f t="shared" si="30"/>
        <v/>
      </c>
      <c r="H603" s="73"/>
      <c r="I603" s="73"/>
      <c r="J603" s="112" t="str">
        <f t="shared" si="31"/>
        <v/>
      </c>
      <c r="K603" s="68"/>
    </row>
    <row r="604" spans="1:11" x14ac:dyDescent="0.2">
      <c r="A604" s="108"/>
      <c r="B604" s="72" t="str">
        <f>IF(A604&lt;&gt;"",'EDC - PARAMETRAGE'!$A$3,"")</f>
        <v/>
      </c>
      <c r="C604" s="72" t="str">
        <f>IF(A604&lt;&gt;"",VLOOKUP(A604,'EDC - PRODUCTION'!$A$7:$E$49,5,FALSE),"")</f>
        <v/>
      </c>
      <c r="D604" s="72" t="str">
        <f>IF(A604&lt;&gt;"",VLOOKUP(A604,'EDC - PRODUCTION'!$A$7:$I$49,4,FALSE),"")</f>
        <v/>
      </c>
      <c r="E604" s="44"/>
      <c r="F604" s="45" t="str">
        <f t="shared" si="29"/>
        <v/>
      </c>
      <c r="G604" s="56" t="str">
        <f t="shared" si="30"/>
        <v/>
      </c>
      <c r="H604" s="73"/>
      <c r="I604" s="73"/>
      <c r="J604" s="112" t="str">
        <f t="shared" si="31"/>
        <v/>
      </c>
      <c r="K604" s="68"/>
    </row>
    <row r="605" spans="1:11" x14ac:dyDescent="0.2">
      <c r="A605" s="108"/>
      <c r="B605" s="72" t="str">
        <f>IF(A605&lt;&gt;"",'EDC - PARAMETRAGE'!$A$3,"")</f>
        <v/>
      </c>
      <c r="C605" s="72" t="str">
        <f>IF(A605&lt;&gt;"",VLOOKUP(A605,'EDC - PRODUCTION'!$A$7:$E$49,5,FALSE),"")</f>
        <v/>
      </c>
      <c r="D605" s="72" t="str">
        <f>IF(A605&lt;&gt;"",VLOOKUP(A605,'EDC - PRODUCTION'!$A$7:$I$49,4,FALSE),"")</f>
        <v/>
      </c>
      <c r="E605" s="44"/>
      <c r="F605" s="45" t="str">
        <f t="shared" si="29"/>
        <v/>
      </c>
      <c r="G605" s="56" t="str">
        <f t="shared" si="30"/>
        <v/>
      </c>
      <c r="H605" s="73"/>
      <c r="I605" s="73"/>
      <c r="J605" s="112" t="str">
        <f t="shared" si="31"/>
        <v/>
      </c>
      <c r="K605" s="68"/>
    </row>
    <row r="606" spans="1:11" x14ac:dyDescent="0.2">
      <c r="A606" s="108"/>
      <c r="B606" s="72" t="str">
        <f>IF(A606&lt;&gt;"",'EDC - PARAMETRAGE'!$A$3,"")</f>
        <v/>
      </c>
      <c r="C606" s="72" t="str">
        <f>IF(A606&lt;&gt;"",VLOOKUP(A606,'EDC - PRODUCTION'!$A$7:$E$49,5,FALSE),"")</f>
        <v/>
      </c>
      <c r="D606" s="72" t="str">
        <f>IF(A606&lt;&gt;"",VLOOKUP(A606,'EDC - PRODUCTION'!$A$7:$I$49,4,FALSE),"")</f>
        <v/>
      </c>
      <c r="E606" s="44"/>
      <c r="F606" s="45" t="str">
        <f t="shared" si="29"/>
        <v/>
      </c>
      <c r="G606" s="56" t="str">
        <f t="shared" si="30"/>
        <v/>
      </c>
      <c r="H606" s="73"/>
      <c r="I606" s="73"/>
      <c r="J606" s="112" t="str">
        <f t="shared" si="31"/>
        <v/>
      </c>
      <c r="K606" s="68"/>
    </row>
    <row r="607" spans="1:11" x14ac:dyDescent="0.2">
      <c r="A607" s="108"/>
      <c r="B607" s="72" t="str">
        <f>IF(A607&lt;&gt;"",'EDC - PARAMETRAGE'!$A$3,"")</f>
        <v/>
      </c>
      <c r="C607" s="72" t="str">
        <f>IF(A607&lt;&gt;"",VLOOKUP(A607,'EDC - PRODUCTION'!$A$7:$E$49,5,FALSE),"")</f>
        <v/>
      </c>
      <c r="D607" s="72" t="str">
        <f>IF(A607&lt;&gt;"",VLOOKUP(A607,'EDC - PRODUCTION'!$A$7:$I$49,4,FALSE),"")</f>
        <v/>
      </c>
      <c r="E607" s="44"/>
      <c r="F607" s="45" t="str">
        <f t="shared" si="29"/>
        <v/>
      </c>
      <c r="G607" s="56" t="str">
        <f t="shared" si="30"/>
        <v/>
      </c>
      <c r="H607" s="73"/>
      <c r="I607" s="73"/>
      <c r="J607" s="112" t="str">
        <f t="shared" si="31"/>
        <v/>
      </c>
      <c r="K607" s="68"/>
    </row>
    <row r="608" spans="1:11" x14ac:dyDescent="0.2">
      <c r="A608" s="108"/>
      <c r="B608" s="72" t="str">
        <f>IF(A608&lt;&gt;"",'EDC - PARAMETRAGE'!$A$3,"")</f>
        <v/>
      </c>
      <c r="C608" s="72" t="str">
        <f>IF(A608&lt;&gt;"",VLOOKUP(A608,'EDC - PRODUCTION'!$A$7:$E$49,5,FALSE),"")</f>
        <v/>
      </c>
      <c r="D608" s="72" t="str">
        <f>IF(A608&lt;&gt;"",VLOOKUP(A608,'EDC - PRODUCTION'!$A$7:$I$49,4,FALSE),"")</f>
        <v/>
      </c>
      <c r="E608" s="44"/>
      <c r="F608" s="45" t="str">
        <f t="shared" si="29"/>
        <v/>
      </c>
      <c r="G608" s="56" t="str">
        <f t="shared" si="30"/>
        <v/>
      </c>
      <c r="H608" s="73"/>
      <c r="I608" s="73"/>
      <c r="J608" s="112" t="str">
        <f t="shared" si="31"/>
        <v/>
      </c>
      <c r="K608" s="68"/>
    </row>
    <row r="609" spans="1:11" x14ac:dyDescent="0.2">
      <c r="A609" s="108"/>
      <c r="B609" s="72" t="str">
        <f>IF(A609&lt;&gt;"",'EDC - PARAMETRAGE'!$A$3,"")</f>
        <v/>
      </c>
      <c r="C609" s="72" t="str">
        <f>IF(A609&lt;&gt;"",VLOOKUP(A609,'EDC - PRODUCTION'!$A$7:$E$49,5,FALSE),"")</f>
        <v/>
      </c>
      <c r="D609" s="72" t="str">
        <f>IF(A609&lt;&gt;"",VLOOKUP(A609,'EDC - PRODUCTION'!$A$7:$I$49,4,FALSE),"")</f>
        <v/>
      </c>
      <c r="E609" s="44"/>
      <c r="F609" s="45" t="str">
        <f t="shared" si="29"/>
        <v/>
      </c>
      <c r="G609" s="56" t="str">
        <f t="shared" si="30"/>
        <v/>
      </c>
      <c r="H609" s="73"/>
      <c r="I609" s="73"/>
      <c r="J609" s="112" t="str">
        <f t="shared" si="31"/>
        <v/>
      </c>
      <c r="K609" s="68"/>
    </row>
    <row r="610" spans="1:11" x14ac:dyDescent="0.2">
      <c r="A610" s="108"/>
      <c r="B610" s="72" t="str">
        <f>IF(A610&lt;&gt;"",'EDC - PARAMETRAGE'!$A$3,"")</f>
        <v/>
      </c>
      <c r="C610" s="72" t="str">
        <f>IF(A610&lt;&gt;"",VLOOKUP(A610,'EDC - PRODUCTION'!$A$7:$E$49,5,FALSE),"")</f>
        <v/>
      </c>
      <c r="D610" s="72" t="str">
        <f>IF(A610&lt;&gt;"",VLOOKUP(A610,'EDC - PRODUCTION'!$A$7:$I$49,4,FALSE),"")</f>
        <v/>
      </c>
      <c r="E610" s="44"/>
      <c r="F610" s="45" t="str">
        <f t="shared" si="29"/>
        <v/>
      </c>
      <c r="G610" s="56" t="str">
        <f t="shared" si="30"/>
        <v/>
      </c>
      <c r="H610" s="73"/>
      <c r="I610" s="73"/>
      <c r="J610" s="112" t="str">
        <f t="shared" si="31"/>
        <v/>
      </c>
      <c r="K610" s="68"/>
    </row>
    <row r="611" spans="1:11" x14ac:dyDescent="0.2">
      <c r="A611" s="108"/>
      <c r="B611" s="72" t="str">
        <f>IF(A611&lt;&gt;"",'EDC - PARAMETRAGE'!$A$3,"")</f>
        <v/>
      </c>
      <c r="C611" s="72" t="str">
        <f>IF(A611&lt;&gt;"",VLOOKUP(A611,'EDC - PRODUCTION'!$A$7:$E$49,5,FALSE),"")</f>
        <v/>
      </c>
      <c r="D611" s="72" t="str">
        <f>IF(A611&lt;&gt;"",VLOOKUP(A611,'EDC - PRODUCTION'!$A$7:$I$49,4,FALSE),"")</f>
        <v/>
      </c>
      <c r="E611" s="44"/>
      <c r="F611" s="45" t="str">
        <f t="shared" si="29"/>
        <v/>
      </c>
      <c r="G611" s="56" t="str">
        <f t="shared" si="30"/>
        <v/>
      </c>
      <c r="H611" s="73"/>
      <c r="I611" s="73"/>
      <c r="J611" s="112" t="str">
        <f t="shared" si="31"/>
        <v/>
      </c>
      <c r="K611" s="68"/>
    </row>
    <row r="612" spans="1:11" x14ac:dyDescent="0.2">
      <c r="A612" s="108"/>
      <c r="B612" s="72" t="str">
        <f>IF(A612&lt;&gt;"",'EDC - PARAMETRAGE'!$A$3,"")</f>
        <v/>
      </c>
      <c r="C612" s="72" t="str">
        <f>IF(A612&lt;&gt;"",VLOOKUP(A612,'EDC - PRODUCTION'!$A$7:$E$49,5,FALSE),"")</f>
        <v/>
      </c>
      <c r="D612" s="72" t="str">
        <f>IF(A612&lt;&gt;"",VLOOKUP(A612,'EDC - PRODUCTION'!$A$7:$I$49,4,FALSE),"")</f>
        <v/>
      </c>
      <c r="E612" s="44"/>
      <c r="F612" s="45" t="str">
        <f t="shared" si="29"/>
        <v/>
      </c>
      <c r="G612" s="56" t="str">
        <f t="shared" si="30"/>
        <v/>
      </c>
      <c r="H612" s="73"/>
      <c r="I612" s="73"/>
      <c r="J612" s="112" t="str">
        <f t="shared" si="31"/>
        <v/>
      </c>
      <c r="K612" s="68"/>
    </row>
    <row r="613" spans="1:11" x14ac:dyDescent="0.2">
      <c r="A613" s="108"/>
      <c r="B613" s="72" t="str">
        <f>IF(A613&lt;&gt;"",'EDC - PARAMETRAGE'!$A$3,"")</f>
        <v/>
      </c>
      <c r="C613" s="72" t="str">
        <f>IF(A613&lt;&gt;"",VLOOKUP(A613,'EDC - PRODUCTION'!$A$7:$E$49,5,FALSE),"")</f>
        <v/>
      </c>
      <c r="D613" s="72" t="str">
        <f>IF(A613&lt;&gt;"",VLOOKUP(A613,'EDC - PRODUCTION'!$A$7:$I$49,4,FALSE),"")</f>
        <v/>
      </c>
      <c r="E613" s="44"/>
      <c r="F613" s="45" t="str">
        <f t="shared" si="29"/>
        <v/>
      </c>
      <c r="G613" s="56" t="str">
        <f t="shared" si="30"/>
        <v/>
      </c>
      <c r="H613" s="73"/>
      <c r="I613" s="73"/>
      <c r="J613" s="112" t="str">
        <f t="shared" si="31"/>
        <v/>
      </c>
      <c r="K613" s="68"/>
    </row>
    <row r="614" spans="1:11" x14ac:dyDescent="0.2">
      <c r="A614" s="108"/>
      <c r="B614" s="72" t="str">
        <f>IF(A614&lt;&gt;"",'EDC - PARAMETRAGE'!$A$3,"")</f>
        <v/>
      </c>
      <c r="C614" s="72" t="str">
        <f>IF(A614&lt;&gt;"",VLOOKUP(A614,'EDC - PRODUCTION'!$A$7:$E$49,5,FALSE),"")</f>
        <v/>
      </c>
      <c r="D614" s="72" t="str">
        <f>IF(A614&lt;&gt;"",VLOOKUP(A614,'EDC - PRODUCTION'!$A$7:$I$49,4,FALSE),"")</f>
        <v/>
      </c>
      <c r="E614" s="44"/>
      <c r="F614" s="45" t="str">
        <f t="shared" si="29"/>
        <v/>
      </c>
      <c r="G614" s="56" t="str">
        <f t="shared" si="30"/>
        <v/>
      </c>
      <c r="H614" s="73"/>
      <c r="I614" s="73"/>
      <c r="J614" s="112" t="str">
        <f t="shared" si="31"/>
        <v/>
      </c>
      <c r="K614" s="68"/>
    </row>
    <row r="615" spans="1:11" x14ac:dyDescent="0.2">
      <c r="A615" s="108"/>
      <c r="B615" s="72" t="str">
        <f>IF(A615&lt;&gt;"",'EDC - PARAMETRAGE'!$A$3,"")</f>
        <v/>
      </c>
      <c r="C615" s="72" t="str">
        <f>IF(A615&lt;&gt;"",VLOOKUP(A615,'EDC - PRODUCTION'!$A$7:$E$49,5,FALSE),"")</f>
        <v/>
      </c>
      <c r="D615" s="72" t="str">
        <f>IF(A615&lt;&gt;"",VLOOKUP(A615,'EDC - PRODUCTION'!$A$7:$I$49,4,FALSE),"")</f>
        <v/>
      </c>
      <c r="E615" s="44"/>
      <c r="F615" s="45" t="str">
        <f t="shared" si="29"/>
        <v/>
      </c>
      <c r="G615" s="56" t="str">
        <f t="shared" si="30"/>
        <v/>
      </c>
      <c r="H615" s="73"/>
      <c r="I615" s="73"/>
      <c r="J615" s="112" t="str">
        <f t="shared" si="31"/>
        <v/>
      </c>
      <c r="K615" s="68"/>
    </row>
    <row r="616" spans="1:11" x14ac:dyDescent="0.2">
      <c r="A616" s="108"/>
      <c r="B616" s="72" t="str">
        <f>IF(A616&lt;&gt;"",'EDC - PARAMETRAGE'!$A$3,"")</f>
        <v/>
      </c>
      <c r="C616" s="72" t="str">
        <f>IF(A616&lt;&gt;"",VLOOKUP(A616,'EDC - PRODUCTION'!$A$7:$E$49,5,FALSE),"")</f>
        <v/>
      </c>
      <c r="D616" s="72" t="str">
        <f>IF(A616&lt;&gt;"",VLOOKUP(A616,'EDC - PRODUCTION'!$A$7:$I$49,4,FALSE),"")</f>
        <v/>
      </c>
      <c r="E616" s="44"/>
      <c r="F616" s="45" t="str">
        <f t="shared" si="29"/>
        <v/>
      </c>
      <c r="G616" s="56" t="str">
        <f t="shared" si="30"/>
        <v/>
      </c>
      <c r="H616" s="73"/>
      <c r="I616" s="73"/>
      <c r="J616" s="112" t="str">
        <f t="shared" si="31"/>
        <v/>
      </c>
      <c r="K616" s="68"/>
    </row>
    <row r="617" spans="1:11" x14ac:dyDescent="0.2">
      <c r="A617" s="108"/>
      <c r="B617" s="72" t="str">
        <f>IF(A617&lt;&gt;"",'EDC - PARAMETRAGE'!$A$3,"")</f>
        <v/>
      </c>
      <c r="C617" s="72" t="str">
        <f>IF(A617&lt;&gt;"",VLOOKUP(A617,'EDC - PRODUCTION'!$A$7:$E$49,5,FALSE),"")</f>
        <v/>
      </c>
      <c r="D617" s="72" t="str">
        <f>IF(A617&lt;&gt;"",VLOOKUP(A617,'EDC - PRODUCTION'!$A$7:$I$49,4,FALSE),"")</f>
        <v/>
      </c>
      <c r="E617" s="44"/>
      <c r="F617" s="45" t="str">
        <f t="shared" si="29"/>
        <v/>
      </c>
      <c r="G617" s="56" t="str">
        <f t="shared" si="30"/>
        <v/>
      </c>
      <c r="H617" s="73"/>
      <c r="I617" s="73"/>
      <c r="J617" s="112" t="str">
        <f t="shared" si="31"/>
        <v/>
      </c>
      <c r="K617" s="68"/>
    </row>
    <row r="618" spans="1:11" x14ac:dyDescent="0.2">
      <c r="A618" s="108"/>
      <c r="B618" s="72" t="str">
        <f>IF(A618&lt;&gt;"",'EDC - PARAMETRAGE'!$A$3,"")</f>
        <v/>
      </c>
      <c r="C618" s="72" t="str">
        <f>IF(A618&lt;&gt;"",VLOOKUP(A618,'EDC - PRODUCTION'!$A$7:$E$49,5,FALSE),"")</f>
        <v/>
      </c>
      <c r="D618" s="72" t="str">
        <f>IF(A618&lt;&gt;"",VLOOKUP(A618,'EDC - PRODUCTION'!$A$7:$I$49,4,FALSE),"")</f>
        <v/>
      </c>
      <c r="E618" s="44"/>
      <c r="F618" s="45" t="str">
        <f t="shared" si="29"/>
        <v/>
      </c>
      <c r="G618" s="56" t="str">
        <f t="shared" si="30"/>
        <v/>
      </c>
      <c r="H618" s="73"/>
      <c r="I618" s="73"/>
      <c r="J618" s="112" t="str">
        <f t="shared" si="31"/>
        <v/>
      </c>
      <c r="K618" s="68"/>
    </row>
    <row r="619" spans="1:11" x14ac:dyDescent="0.2">
      <c r="A619" s="108"/>
      <c r="B619" s="72" t="str">
        <f>IF(A619&lt;&gt;"",'EDC - PARAMETRAGE'!$A$3,"")</f>
        <v/>
      </c>
      <c r="C619" s="72" t="str">
        <f>IF(A619&lt;&gt;"",VLOOKUP(A619,'EDC - PRODUCTION'!$A$7:$E$49,5,FALSE),"")</f>
        <v/>
      </c>
      <c r="D619" s="72" t="str">
        <f>IF(A619&lt;&gt;"",VLOOKUP(A619,'EDC - PRODUCTION'!$A$7:$I$49,4,FALSE),"")</f>
        <v/>
      </c>
      <c r="E619" s="44"/>
      <c r="F619" s="45" t="str">
        <f t="shared" si="29"/>
        <v/>
      </c>
      <c r="G619" s="56" t="str">
        <f t="shared" si="30"/>
        <v/>
      </c>
      <c r="H619" s="73"/>
      <c r="I619" s="73"/>
      <c r="J619" s="112" t="str">
        <f t="shared" si="31"/>
        <v/>
      </c>
      <c r="K619" s="68"/>
    </row>
    <row r="620" spans="1:11" x14ac:dyDescent="0.2">
      <c r="A620" s="108"/>
      <c r="B620" s="72" t="str">
        <f>IF(A620&lt;&gt;"",'EDC - PARAMETRAGE'!$A$3,"")</f>
        <v/>
      </c>
      <c r="C620" s="72" t="str">
        <f>IF(A620&lt;&gt;"",VLOOKUP(A620,'EDC - PRODUCTION'!$A$7:$E$49,5,FALSE),"")</f>
        <v/>
      </c>
      <c r="D620" s="72" t="str">
        <f>IF(A620&lt;&gt;"",VLOOKUP(A620,'EDC - PRODUCTION'!$A$7:$I$49,4,FALSE),"")</f>
        <v/>
      </c>
      <c r="E620" s="44"/>
      <c r="F620" s="45" t="str">
        <f t="shared" si="29"/>
        <v/>
      </c>
      <c r="G620" s="56" t="str">
        <f t="shared" si="30"/>
        <v/>
      </c>
      <c r="H620" s="73"/>
      <c r="I620" s="73"/>
      <c r="J620" s="112" t="str">
        <f t="shared" si="31"/>
        <v/>
      </c>
      <c r="K620" s="68"/>
    </row>
    <row r="621" spans="1:11" x14ac:dyDescent="0.2">
      <c r="A621" s="108"/>
      <c r="B621" s="72" t="str">
        <f>IF(A621&lt;&gt;"",'EDC - PARAMETRAGE'!$A$3,"")</f>
        <v/>
      </c>
      <c r="C621" s="72" t="str">
        <f>IF(A621&lt;&gt;"",VLOOKUP(A621,'EDC - PRODUCTION'!$A$7:$E$49,5,FALSE),"")</f>
        <v/>
      </c>
      <c r="D621" s="72" t="str">
        <f>IF(A621&lt;&gt;"",VLOOKUP(A621,'EDC - PRODUCTION'!$A$7:$I$49,4,FALSE),"")</f>
        <v/>
      </c>
      <c r="E621" s="44"/>
      <c r="F621" s="45" t="str">
        <f t="shared" si="29"/>
        <v/>
      </c>
      <c r="G621" s="56" t="str">
        <f t="shared" si="30"/>
        <v/>
      </c>
      <c r="H621" s="73"/>
      <c r="I621" s="73"/>
      <c r="J621" s="112" t="str">
        <f t="shared" si="31"/>
        <v/>
      </c>
      <c r="K621" s="68"/>
    </row>
    <row r="622" spans="1:11" x14ac:dyDescent="0.2">
      <c r="A622" s="108"/>
      <c r="B622" s="72" t="str">
        <f>IF(A622&lt;&gt;"",'EDC - PARAMETRAGE'!$A$3,"")</f>
        <v/>
      </c>
      <c r="C622" s="72" t="str">
        <f>IF(A622&lt;&gt;"",VLOOKUP(A622,'EDC - PRODUCTION'!$A$7:$E$49,5,FALSE),"")</f>
        <v/>
      </c>
      <c r="D622" s="72" t="str">
        <f>IF(A622&lt;&gt;"",VLOOKUP(A622,'EDC - PRODUCTION'!$A$7:$I$49,4,FALSE),"")</f>
        <v/>
      </c>
      <c r="E622" s="44"/>
      <c r="F622" s="45" t="str">
        <f t="shared" si="29"/>
        <v/>
      </c>
      <c r="G622" s="56" t="str">
        <f t="shared" si="30"/>
        <v/>
      </c>
      <c r="H622" s="73"/>
      <c r="I622" s="73"/>
      <c r="J622" s="112" t="str">
        <f t="shared" si="31"/>
        <v/>
      </c>
      <c r="K622" s="68"/>
    </row>
    <row r="623" spans="1:11" x14ac:dyDescent="0.2">
      <c r="A623" s="108"/>
      <c r="B623" s="72" t="str">
        <f>IF(A623&lt;&gt;"",'EDC - PARAMETRAGE'!$A$3,"")</f>
        <v/>
      </c>
      <c r="C623" s="72" t="str">
        <f>IF(A623&lt;&gt;"",VLOOKUP(A623,'EDC - PRODUCTION'!$A$7:$E$49,5,FALSE),"")</f>
        <v/>
      </c>
      <c r="D623" s="72" t="str">
        <f>IF(A623&lt;&gt;"",VLOOKUP(A623,'EDC - PRODUCTION'!$A$7:$I$49,4,FALSE),"")</f>
        <v/>
      </c>
      <c r="E623" s="44"/>
      <c r="F623" s="45" t="str">
        <f t="shared" si="29"/>
        <v/>
      </c>
      <c r="G623" s="56" t="str">
        <f t="shared" si="30"/>
        <v/>
      </c>
      <c r="H623" s="73"/>
      <c r="I623" s="73"/>
      <c r="J623" s="112" t="str">
        <f t="shared" si="31"/>
        <v/>
      </c>
      <c r="K623" s="68"/>
    </row>
    <row r="624" spans="1:11" x14ac:dyDescent="0.2">
      <c r="A624" s="108"/>
      <c r="B624" s="72" t="str">
        <f>IF(A624&lt;&gt;"",'EDC - PARAMETRAGE'!$A$3,"")</f>
        <v/>
      </c>
      <c r="C624" s="72" t="str">
        <f>IF(A624&lt;&gt;"",VLOOKUP(A624,'EDC - PRODUCTION'!$A$7:$E$49,5,FALSE),"")</f>
        <v/>
      </c>
      <c r="D624" s="72" t="str">
        <f>IF(A624&lt;&gt;"",VLOOKUP(A624,'EDC - PRODUCTION'!$A$7:$I$49,4,FALSE),"")</f>
        <v/>
      </c>
      <c r="E624" s="44"/>
      <c r="F624" s="45" t="str">
        <f t="shared" si="29"/>
        <v/>
      </c>
      <c r="G624" s="56" t="str">
        <f t="shared" si="30"/>
        <v/>
      </c>
      <c r="H624" s="73"/>
      <c r="I624" s="73"/>
      <c r="J624" s="112" t="str">
        <f t="shared" si="31"/>
        <v/>
      </c>
      <c r="K624" s="68"/>
    </row>
    <row r="625" spans="1:11" x14ac:dyDescent="0.2">
      <c r="A625" s="108"/>
      <c r="B625" s="72" t="str">
        <f>IF(A625&lt;&gt;"",'EDC - PARAMETRAGE'!$A$3,"")</f>
        <v/>
      </c>
      <c r="C625" s="72" t="str">
        <f>IF(A625&lt;&gt;"",VLOOKUP(A625,'EDC - PRODUCTION'!$A$7:$E$49,5,FALSE),"")</f>
        <v/>
      </c>
      <c r="D625" s="72" t="str">
        <f>IF(A625&lt;&gt;"",VLOOKUP(A625,'EDC - PRODUCTION'!$A$7:$I$49,4,FALSE),"")</f>
        <v/>
      </c>
      <c r="E625" s="44"/>
      <c r="F625" s="45" t="str">
        <f t="shared" si="29"/>
        <v/>
      </c>
      <c r="G625" s="56" t="str">
        <f t="shared" si="30"/>
        <v/>
      </c>
      <c r="H625" s="73"/>
      <c r="I625" s="73"/>
      <c r="J625" s="112" t="str">
        <f t="shared" si="31"/>
        <v/>
      </c>
      <c r="K625" s="68"/>
    </row>
    <row r="626" spans="1:11" x14ac:dyDescent="0.2">
      <c r="A626" s="108"/>
      <c r="B626" s="72" t="str">
        <f>IF(A626&lt;&gt;"",'EDC - PARAMETRAGE'!$A$3,"")</f>
        <v/>
      </c>
      <c r="C626" s="72" t="str">
        <f>IF(A626&lt;&gt;"",VLOOKUP(A626,'EDC - PRODUCTION'!$A$7:$E$49,5,FALSE),"")</f>
        <v/>
      </c>
      <c r="D626" s="72" t="str">
        <f>IF(A626&lt;&gt;"",VLOOKUP(A626,'EDC - PRODUCTION'!$A$7:$I$49,4,FALSE),"")</f>
        <v/>
      </c>
      <c r="E626" s="44"/>
      <c r="F626" s="45" t="str">
        <f t="shared" si="29"/>
        <v/>
      </c>
      <c r="G626" s="56" t="str">
        <f t="shared" si="30"/>
        <v/>
      </c>
      <c r="H626" s="73"/>
      <c r="I626" s="73"/>
      <c r="J626" s="112" t="str">
        <f t="shared" si="31"/>
        <v/>
      </c>
      <c r="K626" s="68"/>
    </row>
    <row r="627" spans="1:11" x14ac:dyDescent="0.2">
      <c r="A627" s="108"/>
      <c r="B627" s="72" t="str">
        <f>IF(A627&lt;&gt;"",'EDC - PARAMETRAGE'!$A$3,"")</f>
        <v/>
      </c>
      <c r="C627" s="72" t="str">
        <f>IF(A627&lt;&gt;"",VLOOKUP(A627,'EDC - PRODUCTION'!$A$7:$E$49,5,FALSE),"")</f>
        <v/>
      </c>
      <c r="D627" s="72" t="str">
        <f>IF(A627&lt;&gt;"",VLOOKUP(A627,'EDC - PRODUCTION'!$A$7:$I$49,4,FALSE),"")</f>
        <v/>
      </c>
      <c r="E627" s="44"/>
      <c r="F627" s="45" t="str">
        <f t="shared" si="29"/>
        <v/>
      </c>
      <c r="G627" s="56" t="str">
        <f t="shared" si="30"/>
        <v/>
      </c>
      <c r="H627" s="73"/>
      <c r="I627" s="73"/>
      <c r="J627" s="112" t="str">
        <f t="shared" si="31"/>
        <v/>
      </c>
      <c r="K627" s="68"/>
    </row>
    <row r="628" spans="1:11" x14ac:dyDescent="0.2">
      <c r="A628" s="108"/>
      <c r="B628" s="72" t="str">
        <f>IF(A628&lt;&gt;"",'EDC - PARAMETRAGE'!$A$3,"")</f>
        <v/>
      </c>
      <c r="C628" s="72" t="str">
        <f>IF(A628&lt;&gt;"",VLOOKUP(A628,'EDC - PRODUCTION'!$A$7:$E$49,5,FALSE),"")</f>
        <v/>
      </c>
      <c r="D628" s="72" t="str">
        <f>IF(A628&lt;&gt;"",VLOOKUP(A628,'EDC - PRODUCTION'!$A$7:$I$49,4,FALSE),"")</f>
        <v/>
      </c>
      <c r="E628" s="44"/>
      <c r="F628" s="45" t="str">
        <f t="shared" si="29"/>
        <v/>
      </c>
      <c r="G628" s="56" t="str">
        <f t="shared" si="30"/>
        <v/>
      </c>
      <c r="H628" s="73"/>
      <c r="I628" s="73"/>
      <c r="J628" s="112" t="str">
        <f t="shared" si="31"/>
        <v/>
      </c>
      <c r="K628" s="68"/>
    </row>
    <row r="629" spans="1:11" x14ac:dyDescent="0.2">
      <c r="A629" s="108"/>
      <c r="B629" s="72" t="str">
        <f>IF(A629&lt;&gt;"",'EDC - PARAMETRAGE'!$A$3,"")</f>
        <v/>
      </c>
      <c r="C629" s="72" t="str">
        <f>IF(A629&lt;&gt;"",VLOOKUP(A629,'EDC - PRODUCTION'!$A$7:$E$49,5,FALSE),"")</f>
        <v/>
      </c>
      <c r="D629" s="72" t="str">
        <f>IF(A629&lt;&gt;"",VLOOKUP(A629,'EDC - PRODUCTION'!$A$7:$I$49,4,FALSE),"")</f>
        <v/>
      </c>
      <c r="E629" s="44"/>
      <c r="F629" s="45" t="str">
        <f t="shared" si="29"/>
        <v/>
      </c>
      <c r="G629" s="56" t="str">
        <f t="shared" si="30"/>
        <v/>
      </c>
      <c r="H629" s="73"/>
      <c r="I629" s="73"/>
      <c r="J629" s="112" t="str">
        <f t="shared" si="31"/>
        <v/>
      </c>
      <c r="K629" s="68"/>
    </row>
    <row r="630" spans="1:11" x14ac:dyDescent="0.2">
      <c r="A630" s="108"/>
      <c r="B630" s="72" t="str">
        <f>IF(A630&lt;&gt;"",'EDC - PARAMETRAGE'!$A$3,"")</f>
        <v/>
      </c>
      <c r="C630" s="72" t="str">
        <f>IF(A630&lt;&gt;"",VLOOKUP(A630,'EDC - PRODUCTION'!$A$7:$E$49,5,FALSE),"")</f>
        <v/>
      </c>
      <c r="D630" s="72" t="str">
        <f>IF(A630&lt;&gt;"",VLOOKUP(A630,'EDC - PRODUCTION'!$A$7:$I$49,4,FALSE),"")</f>
        <v/>
      </c>
      <c r="E630" s="44"/>
      <c r="F630" s="45" t="str">
        <f t="shared" si="29"/>
        <v/>
      </c>
      <c r="G630" s="56" t="str">
        <f t="shared" si="30"/>
        <v/>
      </c>
      <c r="H630" s="73"/>
      <c r="I630" s="73"/>
      <c r="J630" s="112" t="str">
        <f t="shared" si="31"/>
        <v/>
      </c>
      <c r="K630" s="68"/>
    </row>
    <row r="631" spans="1:11" x14ac:dyDescent="0.2">
      <c r="A631" s="108"/>
      <c r="B631" s="72" t="str">
        <f>IF(A631&lt;&gt;"",'EDC - PARAMETRAGE'!$A$3,"")</f>
        <v/>
      </c>
      <c r="C631" s="72" t="str">
        <f>IF(A631&lt;&gt;"",VLOOKUP(A631,'EDC - PRODUCTION'!$A$7:$E$49,5,FALSE),"")</f>
        <v/>
      </c>
      <c r="D631" s="72" t="str">
        <f>IF(A631&lt;&gt;"",VLOOKUP(A631,'EDC - PRODUCTION'!$A$7:$I$49,4,FALSE),"")</f>
        <v/>
      </c>
      <c r="E631" s="44"/>
      <c r="F631" s="45" t="str">
        <f t="shared" si="29"/>
        <v/>
      </c>
      <c r="G631" s="56" t="str">
        <f t="shared" si="30"/>
        <v/>
      </c>
      <c r="H631" s="73"/>
      <c r="I631" s="73"/>
      <c r="J631" s="112" t="str">
        <f t="shared" si="31"/>
        <v/>
      </c>
      <c r="K631" s="68"/>
    </row>
    <row r="632" spans="1:11" x14ac:dyDescent="0.2">
      <c r="A632" s="108"/>
      <c r="B632" s="72" t="str">
        <f>IF(A632&lt;&gt;"",'EDC - PARAMETRAGE'!$A$3,"")</f>
        <v/>
      </c>
      <c r="C632" s="72" t="str">
        <f>IF(A632&lt;&gt;"",VLOOKUP(A632,'EDC - PRODUCTION'!$A$7:$E$49,5,FALSE),"")</f>
        <v/>
      </c>
      <c r="D632" s="72" t="str">
        <f>IF(A632&lt;&gt;"",VLOOKUP(A632,'EDC - PRODUCTION'!$A$7:$I$49,4,FALSE),"")</f>
        <v/>
      </c>
      <c r="E632" s="44"/>
      <c r="F632" s="45" t="str">
        <f t="shared" si="29"/>
        <v/>
      </c>
      <c r="G632" s="56" t="str">
        <f t="shared" si="30"/>
        <v/>
      </c>
      <c r="H632" s="73"/>
      <c r="I632" s="73"/>
      <c r="J632" s="112" t="str">
        <f t="shared" si="31"/>
        <v/>
      </c>
      <c r="K632" s="68"/>
    </row>
    <row r="633" spans="1:11" x14ac:dyDescent="0.2">
      <c r="A633" s="108"/>
      <c r="B633" s="72" t="str">
        <f>IF(A633&lt;&gt;"",'EDC - PARAMETRAGE'!$A$3,"")</f>
        <v/>
      </c>
      <c r="C633" s="72" t="str">
        <f>IF(A633&lt;&gt;"",VLOOKUP(A633,'EDC - PRODUCTION'!$A$7:$E$49,5,FALSE),"")</f>
        <v/>
      </c>
      <c r="D633" s="72" t="str">
        <f>IF(A633&lt;&gt;"",VLOOKUP(A633,'EDC - PRODUCTION'!$A$7:$I$49,4,FALSE),"")</f>
        <v/>
      </c>
      <c r="E633" s="44"/>
      <c r="F633" s="45" t="str">
        <f t="shared" si="29"/>
        <v/>
      </c>
      <c r="G633" s="56" t="str">
        <f t="shared" si="30"/>
        <v/>
      </c>
      <c r="H633" s="73"/>
      <c r="I633" s="73"/>
      <c r="J633" s="112" t="str">
        <f t="shared" si="31"/>
        <v/>
      </c>
      <c r="K633" s="68"/>
    </row>
    <row r="634" spans="1:11" x14ac:dyDescent="0.2">
      <c r="A634" s="108"/>
      <c r="B634" s="72" t="str">
        <f>IF(A634&lt;&gt;"",'EDC - PARAMETRAGE'!$A$3,"")</f>
        <v/>
      </c>
      <c r="C634" s="72" t="str">
        <f>IF(A634&lt;&gt;"",VLOOKUP(A634,'EDC - PRODUCTION'!$A$7:$E$49,5,FALSE),"")</f>
        <v/>
      </c>
      <c r="D634" s="72" t="str">
        <f>IF(A634&lt;&gt;"",VLOOKUP(A634,'EDC - PRODUCTION'!$A$7:$I$49,4,FALSE),"")</f>
        <v/>
      </c>
      <c r="E634" s="44"/>
      <c r="F634" s="45" t="str">
        <f t="shared" si="29"/>
        <v/>
      </c>
      <c r="G634" s="56" t="str">
        <f t="shared" si="30"/>
        <v/>
      </c>
      <c r="H634" s="73"/>
      <c r="I634" s="73"/>
      <c r="J634" s="112" t="str">
        <f t="shared" si="31"/>
        <v/>
      </c>
      <c r="K634" s="68"/>
    </row>
    <row r="635" spans="1:11" x14ac:dyDescent="0.2">
      <c r="A635" s="108"/>
      <c r="B635" s="72" t="str">
        <f>IF(A635&lt;&gt;"",'EDC - PARAMETRAGE'!$A$3,"")</f>
        <v/>
      </c>
      <c r="C635" s="72" t="str">
        <f>IF(A635&lt;&gt;"",VLOOKUP(A635,'EDC - PRODUCTION'!$A$7:$E$49,5,FALSE),"")</f>
        <v/>
      </c>
      <c r="D635" s="72" t="str">
        <f>IF(A635&lt;&gt;"",VLOOKUP(A635,'EDC - PRODUCTION'!$A$7:$I$49,4,FALSE),"")</f>
        <v/>
      </c>
      <c r="E635" s="44"/>
      <c r="F635" s="45" t="str">
        <f t="shared" si="29"/>
        <v/>
      </c>
      <c r="G635" s="56" t="str">
        <f t="shared" si="30"/>
        <v/>
      </c>
      <c r="H635" s="73"/>
      <c r="I635" s="73"/>
      <c r="J635" s="112" t="str">
        <f t="shared" si="31"/>
        <v/>
      </c>
      <c r="K635" s="68"/>
    </row>
    <row r="636" spans="1:11" x14ac:dyDescent="0.2">
      <c r="A636" s="108"/>
      <c r="B636" s="72" t="str">
        <f>IF(A636&lt;&gt;"",'EDC - PARAMETRAGE'!$A$3,"")</f>
        <v/>
      </c>
      <c r="C636" s="72" t="str">
        <f>IF(A636&lt;&gt;"",VLOOKUP(A636,'EDC - PRODUCTION'!$A$7:$E$49,5,FALSE),"")</f>
        <v/>
      </c>
      <c r="D636" s="72" t="str">
        <f>IF(A636&lt;&gt;"",VLOOKUP(A636,'EDC - PRODUCTION'!$A$7:$I$49,4,FALSE),"")</f>
        <v/>
      </c>
      <c r="E636" s="44"/>
      <c r="F636" s="45" t="str">
        <f t="shared" si="29"/>
        <v/>
      </c>
      <c r="G636" s="56" t="str">
        <f t="shared" si="30"/>
        <v/>
      </c>
      <c r="H636" s="73"/>
      <c r="I636" s="73"/>
      <c r="J636" s="112" t="str">
        <f t="shared" si="31"/>
        <v/>
      </c>
      <c r="K636" s="68"/>
    </row>
    <row r="637" spans="1:11" x14ac:dyDescent="0.2">
      <c r="A637" s="108"/>
      <c r="B637" s="72" t="str">
        <f>IF(A637&lt;&gt;"",'EDC - PARAMETRAGE'!$A$3,"")</f>
        <v/>
      </c>
      <c r="C637" s="72" t="str">
        <f>IF(A637&lt;&gt;"",VLOOKUP(A637,'EDC - PRODUCTION'!$A$7:$E$49,5,FALSE),"")</f>
        <v/>
      </c>
      <c r="D637" s="72" t="str">
        <f>IF(A637&lt;&gt;"",VLOOKUP(A637,'EDC - PRODUCTION'!$A$7:$I$49,4,FALSE),"")</f>
        <v/>
      </c>
      <c r="E637" s="44"/>
      <c r="F637" s="45" t="str">
        <f t="shared" si="29"/>
        <v/>
      </c>
      <c r="G637" s="56" t="str">
        <f t="shared" si="30"/>
        <v/>
      </c>
      <c r="H637" s="73"/>
      <c r="I637" s="73"/>
      <c r="J637" s="112" t="str">
        <f t="shared" si="31"/>
        <v/>
      </c>
      <c r="K637" s="68"/>
    </row>
    <row r="638" spans="1:11" x14ac:dyDescent="0.2">
      <c r="A638" s="108"/>
      <c r="B638" s="72" t="str">
        <f>IF(A638&lt;&gt;"",'EDC - PARAMETRAGE'!$A$3,"")</f>
        <v/>
      </c>
      <c r="C638" s="72" t="str">
        <f>IF(A638&lt;&gt;"",VLOOKUP(A638,'EDC - PRODUCTION'!$A$7:$E$49,5,FALSE),"")</f>
        <v/>
      </c>
      <c r="D638" s="72" t="str">
        <f>IF(A638&lt;&gt;"",VLOOKUP(A638,'EDC - PRODUCTION'!$A$7:$I$49,4,FALSE),"")</f>
        <v/>
      </c>
      <c r="E638" s="44"/>
      <c r="F638" s="45" t="str">
        <f t="shared" si="29"/>
        <v/>
      </c>
      <c r="G638" s="56" t="str">
        <f t="shared" si="30"/>
        <v/>
      </c>
      <c r="H638" s="73"/>
      <c r="I638" s="73"/>
      <c r="J638" s="112" t="str">
        <f t="shared" si="31"/>
        <v/>
      </c>
      <c r="K638" s="68"/>
    </row>
    <row r="639" spans="1:11" x14ac:dyDescent="0.2">
      <c r="A639" s="108"/>
      <c r="B639" s="72" t="str">
        <f>IF(A639&lt;&gt;"",'EDC - PARAMETRAGE'!$A$3,"")</f>
        <v/>
      </c>
      <c r="C639" s="72" t="str">
        <f>IF(A639&lt;&gt;"",VLOOKUP(A639,'EDC - PRODUCTION'!$A$7:$E$49,5,FALSE),"")</f>
        <v/>
      </c>
      <c r="D639" s="72" t="str">
        <f>IF(A639&lt;&gt;"",VLOOKUP(A639,'EDC - PRODUCTION'!$A$7:$I$49,4,FALSE),"")</f>
        <v/>
      </c>
      <c r="E639" s="44"/>
      <c r="F639" s="45" t="str">
        <f t="shared" si="29"/>
        <v/>
      </c>
      <c r="G639" s="56" t="str">
        <f t="shared" si="30"/>
        <v/>
      </c>
      <c r="H639" s="73"/>
      <c r="I639" s="73"/>
      <c r="J639" s="112" t="str">
        <f t="shared" si="31"/>
        <v/>
      </c>
      <c r="K639" s="68"/>
    </row>
    <row r="640" spans="1:11" x14ac:dyDescent="0.2">
      <c r="A640" s="108"/>
      <c r="B640" s="72" t="str">
        <f>IF(A640&lt;&gt;"",'EDC - PARAMETRAGE'!$A$3,"")</f>
        <v/>
      </c>
      <c r="C640" s="72" t="str">
        <f>IF(A640&lt;&gt;"",VLOOKUP(A640,'EDC - PRODUCTION'!$A$7:$E$49,5,FALSE),"")</f>
        <v/>
      </c>
      <c r="D640" s="72" t="str">
        <f>IF(A640&lt;&gt;"",VLOOKUP(A640,'EDC - PRODUCTION'!$A$7:$I$49,4,FALSE),"")</f>
        <v/>
      </c>
      <c r="E640" s="44"/>
      <c r="F640" s="45" t="str">
        <f t="shared" si="29"/>
        <v/>
      </c>
      <c r="G640" s="56" t="str">
        <f t="shared" si="30"/>
        <v/>
      </c>
      <c r="H640" s="73"/>
      <c r="I640" s="73"/>
      <c r="J640" s="112" t="str">
        <f t="shared" si="31"/>
        <v/>
      </c>
      <c r="K640" s="68"/>
    </row>
    <row r="641" spans="1:11" x14ac:dyDescent="0.2">
      <c r="A641" s="108"/>
      <c r="B641" s="72" t="str">
        <f>IF(A641&lt;&gt;"",'EDC - PARAMETRAGE'!$A$3,"")</f>
        <v/>
      </c>
      <c r="C641" s="72" t="str">
        <f>IF(A641&lt;&gt;"",VLOOKUP(A641,'EDC - PRODUCTION'!$A$7:$E$49,5,FALSE),"")</f>
        <v/>
      </c>
      <c r="D641" s="72" t="str">
        <f>IF(A641&lt;&gt;"",VLOOKUP(A641,'EDC - PRODUCTION'!$A$7:$I$49,4,FALSE),"")</f>
        <v/>
      </c>
      <c r="E641" s="44"/>
      <c r="F641" s="45" t="str">
        <f t="shared" si="29"/>
        <v/>
      </c>
      <c r="G641" s="56" t="str">
        <f t="shared" si="30"/>
        <v/>
      </c>
      <c r="H641" s="73"/>
      <c r="I641" s="73"/>
      <c r="J641" s="112" t="str">
        <f t="shared" si="31"/>
        <v/>
      </c>
      <c r="K641" s="68"/>
    </row>
    <row r="642" spans="1:11" x14ac:dyDescent="0.2">
      <c r="A642" s="108"/>
      <c r="B642" s="72" t="str">
        <f>IF(A642&lt;&gt;"",'EDC - PARAMETRAGE'!$A$3,"")</f>
        <v/>
      </c>
      <c r="C642" s="72" t="str">
        <f>IF(A642&lt;&gt;"",VLOOKUP(A642,'EDC - PRODUCTION'!$A$7:$E$49,5,FALSE),"")</f>
        <v/>
      </c>
      <c r="D642" s="72" t="str">
        <f>IF(A642&lt;&gt;"",VLOOKUP(A642,'EDC - PRODUCTION'!$A$7:$I$49,4,FALSE),"")</f>
        <v/>
      </c>
      <c r="E642" s="44"/>
      <c r="F642" s="45" t="str">
        <f t="shared" si="29"/>
        <v/>
      </c>
      <c r="G642" s="56" t="str">
        <f t="shared" si="30"/>
        <v/>
      </c>
      <c r="H642" s="73"/>
      <c r="I642" s="73"/>
      <c r="J642" s="112" t="str">
        <f t="shared" si="31"/>
        <v/>
      </c>
      <c r="K642" s="68"/>
    </row>
    <row r="643" spans="1:11" x14ac:dyDescent="0.2">
      <c r="A643" s="108"/>
      <c r="B643" s="72" t="str">
        <f>IF(A643&lt;&gt;"",'EDC - PARAMETRAGE'!$A$3,"")</f>
        <v/>
      </c>
      <c r="C643" s="72" t="str">
        <f>IF(A643&lt;&gt;"",VLOOKUP(A643,'EDC - PRODUCTION'!$A$7:$E$49,5,FALSE),"")</f>
        <v/>
      </c>
      <c r="D643" s="72" t="str">
        <f>IF(A643&lt;&gt;"",VLOOKUP(A643,'EDC - PRODUCTION'!$A$7:$I$49,4,FALSE),"")</f>
        <v/>
      </c>
      <c r="E643" s="44"/>
      <c r="F643" s="45" t="str">
        <f t="shared" si="29"/>
        <v/>
      </c>
      <c r="G643" s="56" t="str">
        <f t="shared" si="30"/>
        <v/>
      </c>
      <c r="H643" s="73"/>
      <c r="I643" s="73"/>
      <c r="J643" s="112" t="str">
        <f t="shared" si="31"/>
        <v/>
      </c>
      <c r="K643" s="68"/>
    </row>
    <row r="644" spans="1:11" x14ac:dyDescent="0.2">
      <c r="A644" s="108"/>
      <c r="B644" s="72" t="str">
        <f>IF(A644&lt;&gt;"",'EDC - PARAMETRAGE'!$A$3,"")</f>
        <v/>
      </c>
      <c r="C644" s="72" t="str">
        <f>IF(A644&lt;&gt;"",VLOOKUP(A644,'EDC - PRODUCTION'!$A$7:$E$49,5,FALSE),"")</f>
        <v/>
      </c>
      <c r="D644" s="72" t="str">
        <f>IF(A644&lt;&gt;"",VLOOKUP(A644,'EDC - PRODUCTION'!$A$7:$I$49,4,FALSE),"")</f>
        <v/>
      </c>
      <c r="E644" s="44"/>
      <c r="F644" s="45" t="str">
        <f t="shared" ref="F644:F707" si="32">IF(A644&lt;&gt;"","DDE","")</f>
        <v/>
      </c>
      <c r="G644" s="56" t="str">
        <f t="shared" ref="G644:G707" si="33">IF(A644&lt;&gt;"",1,"")</f>
        <v/>
      </c>
      <c r="H644" s="73"/>
      <c r="I644" s="73"/>
      <c r="J644" s="112" t="str">
        <f t="shared" ref="J644:J707" si="34">IF(A644&lt;&gt;"",SUM(H644:I644),"")</f>
        <v/>
      </c>
      <c r="K644" s="68"/>
    </row>
    <row r="645" spans="1:11" x14ac:dyDescent="0.2">
      <c r="A645" s="108"/>
      <c r="B645" s="72" t="str">
        <f>IF(A645&lt;&gt;"",'EDC - PARAMETRAGE'!$A$3,"")</f>
        <v/>
      </c>
      <c r="C645" s="72" t="str">
        <f>IF(A645&lt;&gt;"",VLOOKUP(A645,'EDC - PRODUCTION'!$A$7:$E$49,5,FALSE),"")</f>
        <v/>
      </c>
      <c r="D645" s="72" t="str">
        <f>IF(A645&lt;&gt;"",VLOOKUP(A645,'EDC - PRODUCTION'!$A$7:$I$49,4,FALSE),"")</f>
        <v/>
      </c>
      <c r="E645" s="44"/>
      <c r="F645" s="45" t="str">
        <f t="shared" si="32"/>
        <v/>
      </c>
      <c r="G645" s="56" t="str">
        <f t="shared" si="33"/>
        <v/>
      </c>
      <c r="H645" s="73"/>
      <c r="I645" s="73"/>
      <c r="J645" s="112" t="str">
        <f t="shared" si="34"/>
        <v/>
      </c>
      <c r="K645" s="68"/>
    </row>
    <row r="646" spans="1:11" x14ac:dyDescent="0.2">
      <c r="A646" s="108"/>
      <c r="B646" s="72" t="str">
        <f>IF(A646&lt;&gt;"",'EDC - PARAMETRAGE'!$A$3,"")</f>
        <v/>
      </c>
      <c r="C646" s="72" t="str">
        <f>IF(A646&lt;&gt;"",VLOOKUP(A646,'EDC - PRODUCTION'!$A$7:$E$49,5,FALSE),"")</f>
        <v/>
      </c>
      <c r="D646" s="72" t="str">
        <f>IF(A646&lt;&gt;"",VLOOKUP(A646,'EDC - PRODUCTION'!$A$7:$I$49,4,FALSE),"")</f>
        <v/>
      </c>
      <c r="E646" s="44"/>
      <c r="F646" s="45" t="str">
        <f t="shared" si="32"/>
        <v/>
      </c>
      <c r="G646" s="56" t="str">
        <f t="shared" si="33"/>
        <v/>
      </c>
      <c r="H646" s="73"/>
      <c r="I646" s="73"/>
      <c r="J646" s="112" t="str">
        <f t="shared" si="34"/>
        <v/>
      </c>
      <c r="K646" s="68"/>
    </row>
    <row r="647" spans="1:11" x14ac:dyDescent="0.2">
      <c r="A647" s="108"/>
      <c r="B647" s="72" t="str">
        <f>IF(A647&lt;&gt;"",'EDC - PARAMETRAGE'!$A$3,"")</f>
        <v/>
      </c>
      <c r="C647" s="72" t="str">
        <f>IF(A647&lt;&gt;"",VLOOKUP(A647,'EDC - PRODUCTION'!$A$7:$E$49,5,FALSE),"")</f>
        <v/>
      </c>
      <c r="D647" s="72" t="str">
        <f>IF(A647&lt;&gt;"",VLOOKUP(A647,'EDC - PRODUCTION'!$A$7:$I$49,4,FALSE),"")</f>
        <v/>
      </c>
      <c r="E647" s="44"/>
      <c r="F647" s="45" t="str">
        <f t="shared" si="32"/>
        <v/>
      </c>
      <c r="G647" s="56" t="str">
        <f t="shared" si="33"/>
        <v/>
      </c>
      <c r="H647" s="73"/>
      <c r="I647" s="73"/>
      <c r="J647" s="112" t="str">
        <f t="shared" si="34"/>
        <v/>
      </c>
      <c r="K647" s="68"/>
    </row>
    <row r="648" spans="1:11" x14ac:dyDescent="0.2">
      <c r="A648" s="108"/>
      <c r="B648" s="72" t="str">
        <f>IF(A648&lt;&gt;"",'EDC - PARAMETRAGE'!$A$3,"")</f>
        <v/>
      </c>
      <c r="C648" s="72" t="str">
        <f>IF(A648&lt;&gt;"",VLOOKUP(A648,'EDC - PRODUCTION'!$A$7:$E$49,5,FALSE),"")</f>
        <v/>
      </c>
      <c r="D648" s="72" t="str">
        <f>IF(A648&lt;&gt;"",VLOOKUP(A648,'EDC - PRODUCTION'!$A$7:$I$49,4,FALSE),"")</f>
        <v/>
      </c>
      <c r="E648" s="44"/>
      <c r="F648" s="45" t="str">
        <f t="shared" si="32"/>
        <v/>
      </c>
      <c r="G648" s="56" t="str">
        <f t="shared" si="33"/>
        <v/>
      </c>
      <c r="H648" s="73"/>
      <c r="I648" s="73"/>
      <c r="J648" s="112" t="str">
        <f t="shared" si="34"/>
        <v/>
      </c>
      <c r="K648" s="68"/>
    </row>
    <row r="649" spans="1:11" x14ac:dyDescent="0.2">
      <c r="A649" s="108"/>
      <c r="B649" s="72" t="str">
        <f>IF(A649&lt;&gt;"",'EDC - PARAMETRAGE'!$A$3,"")</f>
        <v/>
      </c>
      <c r="C649" s="72" t="str">
        <f>IF(A649&lt;&gt;"",VLOOKUP(A649,'EDC - PRODUCTION'!$A$7:$E$49,5,FALSE),"")</f>
        <v/>
      </c>
      <c r="D649" s="72" t="str">
        <f>IF(A649&lt;&gt;"",VLOOKUP(A649,'EDC - PRODUCTION'!$A$7:$I$49,4,FALSE),"")</f>
        <v/>
      </c>
      <c r="E649" s="44"/>
      <c r="F649" s="45" t="str">
        <f t="shared" si="32"/>
        <v/>
      </c>
      <c r="G649" s="56" t="str">
        <f t="shared" si="33"/>
        <v/>
      </c>
      <c r="H649" s="73"/>
      <c r="I649" s="73"/>
      <c r="J649" s="112" t="str">
        <f t="shared" si="34"/>
        <v/>
      </c>
      <c r="K649" s="68"/>
    </row>
    <row r="650" spans="1:11" x14ac:dyDescent="0.2">
      <c r="A650" s="108"/>
      <c r="B650" s="72" t="str">
        <f>IF(A650&lt;&gt;"",'EDC - PARAMETRAGE'!$A$3,"")</f>
        <v/>
      </c>
      <c r="C650" s="72" t="str">
        <f>IF(A650&lt;&gt;"",VLOOKUP(A650,'EDC - PRODUCTION'!$A$7:$E$49,5,FALSE),"")</f>
        <v/>
      </c>
      <c r="D650" s="72" t="str">
        <f>IF(A650&lt;&gt;"",VLOOKUP(A650,'EDC - PRODUCTION'!$A$7:$I$49,4,FALSE),"")</f>
        <v/>
      </c>
      <c r="E650" s="44"/>
      <c r="F650" s="45" t="str">
        <f t="shared" si="32"/>
        <v/>
      </c>
      <c r="G650" s="56" t="str">
        <f t="shared" si="33"/>
        <v/>
      </c>
      <c r="H650" s="73"/>
      <c r="I650" s="73"/>
      <c r="J650" s="112" t="str">
        <f t="shared" si="34"/>
        <v/>
      </c>
      <c r="K650" s="68"/>
    </row>
    <row r="651" spans="1:11" x14ac:dyDescent="0.2">
      <c r="A651" s="108"/>
      <c r="B651" s="72" t="str">
        <f>IF(A651&lt;&gt;"",'EDC - PARAMETRAGE'!$A$3,"")</f>
        <v/>
      </c>
      <c r="C651" s="72" t="str">
        <f>IF(A651&lt;&gt;"",VLOOKUP(A651,'EDC - PRODUCTION'!$A$7:$E$49,5,FALSE),"")</f>
        <v/>
      </c>
      <c r="D651" s="72" t="str">
        <f>IF(A651&lt;&gt;"",VLOOKUP(A651,'EDC - PRODUCTION'!$A$7:$I$49,4,FALSE),"")</f>
        <v/>
      </c>
      <c r="E651" s="44"/>
      <c r="F651" s="45" t="str">
        <f t="shared" si="32"/>
        <v/>
      </c>
      <c r="G651" s="56" t="str">
        <f t="shared" si="33"/>
        <v/>
      </c>
      <c r="H651" s="73"/>
      <c r="I651" s="73"/>
      <c r="J651" s="112" t="str">
        <f t="shared" si="34"/>
        <v/>
      </c>
      <c r="K651" s="68"/>
    </row>
    <row r="652" spans="1:11" x14ac:dyDescent="0.2">
      <c r="A652" s="108"/>
      <c r="B652" s="72" t="str">
        <f>IF(A652&lt;&gt;"",'EDC - PARAMETRAGE'!$A$3,"")</f>
        <v/>
      </c>
      <c r="C652" s="72" t="str">
        <f>IF(A652&lt;&gt;"",VLOOKUP(A652,'EDC - PRODUCTION'!$A$7:$E$49,5,FALSE),"")</f>
        <v/>
      </c>
      <c r="D652" s="72" t="str">
        <f>IF(A652&lt;&gt;"",VLOOKUP(A652,'EDC - PRODUCTION'!$A$7:$I$49,4,FALSE),"")</f>
        <v/>
      </c>
      <c r="E652" s="44"/>
      <c r="F652" s="45" t="str">
        <f t="shared" si="32"/>
        <v/>
      </c>
      <c r="G652" s="56" t="str">
        <f t="shared" si="33"/>
        <v/>
      </c>
      <c r="H652" s="73"/>
      <c r="I652" s="73"/>
      <c r="J652" s="112" t="str">
        <f t="shared" si="34"/>
        <v/>
      </c>
      <c r="K652" s="68"/>
    </row>
    <row r="653" spans="1:11" x14ac:dyDescent="0.2">
      <c r="A653" s="108"/>
      <c r="B653" s="72" t="str">
        <f>IF(A653&lt;&gt;"",'EDC - PARAMETRAGE'!$A$3,"")</f>
        <v/>
      </c>
      <c r="C653" s="72" t="str">
        <f>IF(A653&lt;&gt;"",VLOOKUP(A653,'EDC - PRODUCTION'!$A$7:$E$49,5,FALSE),"")</f>
        <v/>
      </c>
      <c r="D653" s="72" t="str">
        <f>IF(A653&lt;&gt;"",VLOOKUP(A653,'EDC - PRODUCTION'!$A$7:$I$49,4,FALSE),"")</f>
        <v/>
      </c>
      <c r="E653" s="44"/>
      <c r="F653" s="45" t="str">
        <f t="shared" si="32"/>
        <v/>
      </c>
      <c r="G653" s="56" t="str">
        <f t="shared" si="33"/>
        <v/>
      </c>
      <c r="H653" s="73"/>
      <c r="I653" s="73"/>
      <c r="J653" s="112" t="str">
        <f t="shared" si="34"/>
        <v/>
      </c>
      <c r="K653" s="68"/>
    </row>
    <row r="654" spans="1:11" x14ac:dyDescent="0.2">
      <c r="A654" s="108"/>
      <c r="B654" s="72" t="str">
        <f>IF(A654&lt;&gt;"",'EDC - PARAMETRAGE'!$A$3,"")</f>
        <v/>
      </c>
      <c r="C654" s="72" t="str">
        <f>IF(A654&lt;&gt;"",VLOOKUP(A654,'EDC - PRODUCTION'!$A$7:$E$49,5,FALSE),"")</f>
        <v/>
      </c>
      <c r="D654" s="72" t="str">
        <f>IF(A654&lt;&gt;"",VLOOKUP(A654,'EDC - PRODUCTION'!$A$7:$I$49,4,FALSE),"")</f>
        <v/>
      </c>
      <c r="E654" s="44"/>
      <c r="F654" s="45" t="str">
        <f t="shared" si="32"/>
        <v/>
      </c>
      <c r="G654" s="56" t="str">
        <f t="shared" si="33"/>
        <v/>
      </c>
      <c r="H654" s="73"/>
      <c r="I654" s="73"/>
      <c r="J654" s="112" t="str">
        <f t="shared" si="34"/>
        <v/>
      </c>
      <c r="K654" s="68"/>
    </row>
    <row r="655" spans="1:11" x14ac:dyDescent="0.2">
      <c r="A655" s="108"/>
      <c r="B655" s="72" t="str">
        <f>IF(A655&lt;&gt;"",'EDC - PARAMETRAGE'!$A$3,"")</f>
        <v/>
      </c>
      <c r="C655" s="72" t="str">
        <f>IF(A655&lt;&gt;"",VLOOKUP(A655,'EDC - PRODUCTION'!$A$7:$E$49,5,FALSE),"")</f>
        <v/>
      </c>
      <c r="D655" s="72" t="str">
        <f>IF(A655&lt;&gt;"",VLOOKUP(A655,'EDC - PRODUCTION'!$A$7:$I$49,4,FALSE),"")</f>
        <v/>
      </c>
      <c r="E655" s="44"/>
      <c r="F655" s="45" t="str">
        <f t="shared" si="32"/>
        <v/>
      </c>
      <c r="G655" s="56" t="str">
        <f t="shared" si="33"/>
        <v/>
      </c>
      <c r="H655" s="73"/>
      <c r="I655" s="73"/>
      <c r="J655" s="112" t="str">
        <f t="shared" si="34"/>
        <v/>
      </c>
      <c r="K655" s="68"/>
    </row>
    <row r="656" spans="1:11" x14ac:dyDescent="0.2">
      <c r="A656" s="108"/>
      <c r="B656" s="72" t="str">
        <f>IF(A656&lt;&gt;"",'EDC - PARAMETRAGE'!$A$3,"")</f>
        <v/>
      </c>
      <c r="C656" s="72" t="str">
        <f>IF(A656&lt;&gt;"",VLOOKUP(A656,'EDC - PRODUCTION'!$A$7:$E$49,5,FALSE),"")</f>
        <v/>
      </c>
      <c r="D656" s="72" t="str">
        <f>IF(A656&lt;&gt;"",VLOOKUP(A656,'EDC - PRODUCTION'!$A$7:$I$49,4,FALSE),"")</f>
        <v/>
      </c>
      <c r="E656" s="44"/>
      <c r="F656" s="45" t="str">
        <f t="shared" si="32"/>
        <v/>
      </c>
      <c r="G656" s="56" t="str">
        <f t="shared" si="33"/>
        <v/>
      </c>
      <c r="H656" s="73"/>
      <c r="I656" s="73"/>
      <c r="J656" s="112" t="str">
        <f t="shared" si="34"/>
        <v/>
      </c>
      <c r="K656" s="68"/>
    </row>
    <row r="657" spans="1:11" x14ac:dyDescent="0.2">
      <c r="A657" s="108"/>
      <c r="B657" s="72" t="str">
        <f>IF(A657&lt;&gt;"",'EDC - PARAMETRAGE'!$A$3,"")</f>
        <v/>
      </c>
      <c r="C657" s="72" t="str">
        <f>IF(A657&lt;&gt;"",VLOOKUP(A657,'EDC - PRODUCTION'!$A$7:$E$49,5,FALSE),"")</f>
        <v/>
      </c>
      <c r="D657" s="72" t="str">
        <f>IF(A657&lt;&gt;"",VLOOKUP(A657,'EDC - PRODUCTION'!$A$7:$I$49,4,FALSE),"")</f>
        <v/>
      </c>
      <c r="E657" s="44"/>
      <c r="F657" s="45" t="str">
        <f t="shared" si="32"/>
        <v/>
      </c>
      <c r="G657" s="56" t="str">
        <f t="shared" si="33"/>
        <v/>
      </c>
      <c r="H657" s="73"/>
      <c r="I657" s="73"/>
      <c r="J657" s="112" t="str">
        <f t="shared" si="34"/>
        <v/>
      </c>
      <c r="K657" s="68"/>
    </row>
    <row r="658" spans="1:11" x14ac:dyDescent="0.2">
      <c r="A658" s="108"/>
      <c r="B658" s="72" t="str">
        <f>IF(A658&lt;&gt;"",'EDC - PARAMETRAGE'!$A$3,"")</f>
        <v/>
      </c>
      <c r="C658" s="72" t="str">
        <f>IF(A658&lt;&gt;"",VLOOKUP(A658,'EDC - PRODUCTION'!$A$7:$E$49,5,FALSE),"")</f>
        <v/>
      </c>
      <c r="D658" s="72" t="str">
        <f>IF(A658&lt;&gt;"",VLOOKUP(A658,'EDC - PRODUCTION'!$A$7:$I$49,4,FALSE),"")</f>
        <v/>
      </c>
      <c r="E658" s="44"/>
      <c r="F658" s="45" t="str">
        <f t="shared" si="32"/>
        <v/>
      </c>
      <c r="G658" s="56" t="str">
        <f t="shared" si="33"/>
        <v/>
      </c>
      <c r="H658" s="73"/>
      <c r="I658" s="73"/>
      <c r="J658" s="112" t="str">
        <f t="shared" si="34"/>
        <v/>
      </c>
      <c r="K658" s="68"/>
    </row>
    <row r="659" spans="1:11" x14ac:dyDescent="0.2">
      <c r="A659" s="108"/>
      <c r="B659" s="72" t="str">
        <f>IF(A659&lt;&gt;"",'EDC - PARAMETRAGE'!$A$3,"")</f>
        <v/>
      </c>
      <c r="C659" s="72" t="str">
        <f>IF(A659&lt;&gt;"",VLOOKUP(A659,'EDC - PRODUCTION'!$A$7:$E$49,5,FALSE),"")</f>
        <v/>
      </c>
      <c r="D659" s="72" t="str">
        <f>IF(A659&lt;&gt;"",VLOOKUP(A659,'EDC - PRODUCTION'!$A$7:$I$49,4,FALSE),"")</f>
        <v/>
      </c>
      <c r="E659" s="44"/>
      <c r="F659" s="45" t="str">
        <f t="shared" si="32"/>
        <v/>
      </c>
      <c r="G659" s="56" t="str">
        <f t="shared" si="33"/>
        <v/>
      </c>
      <c r="H659" s="73"/>
      <c r="I659" s="73"/>
      <c r="J659" s="112" t="str">
        <f t="shared" si="34"/>
        <v/>
      </c>
      <c r="K659" s="68"/>
    </row>
    <row r="660" spans="1:11" x14ac:dyDescent="0.2">
      <c r="A660" s="108"/>
      <c r="B660" s="72" t="str">
        <f>IF(A660&lt;&gt;"",'EDC - PARAMETRAGE'!$A$3,"")</f>
        <v/>
      </c>
      <c r="C660" s="72" t="str">
        <f>IF(A660&lt;&gt;"",VLOOKUP(A660,'EDC - PRODUCTION'!$A$7:$E$49,5,FALSE),"")</f>
        <v/>
      </c>
      <c r="D660" s="72" t="str">
        <f>IF(A660&lt;&gt;"",VLOOKUP(A660,'EDC - PRODUCTION'!$A$7:$I$49,4,FALSE),"")</f>
        <v/>
      </c>
      <c r="E660" s="44"/>
      <c r="F660" s="45" t="str">
        <f t="shared" si="32"/>
        <v/>
      </c>
      <c r="G660" s="56" t="str">
        <f t="shared" si="33"/>
        <v/>
      </c>
      <c r="H660" s="73"/>
      <c r="I660" s="73"/>
      <c r="J660" s="112" t="str">
        <f t="shared" si="34"/>
        <v/>
      </c>
      <c r="K660" s="68"/>
    </row>
    <row r="661" spans="1:11" x14ac:dyDescent="0.2">
      <c r="A661" s="108"/>
      <c r="B661" s="72" t="str">
        <f>IF(A661&lt;&gt;"",'EDC - PARAMETRAGE'!$A$3,"")</f>
        <v/>
      </c>
      <c r="C661" s="72" t="str">
        <f>IF(A661&lt;&gt;"",VLOOKUP(A661,'EDC - PRODUCTION'!$A$7:$E$49,5,FALSE),"")</f>
        <v/>
      </c>
      <c r="D661" s="72" t="str">
        <f>IF(A661&lt;&gt;"",VLOOKUP(A661,'EDC - PRODUCTION'!$A$7:$I$49,4,FALSE),"")</f>
        <v/>
      </c>
      <c r="E661" s="44"/>
      <c r="F661" s="45" t="str">
        <f t="shared" si="32"/>
        <v/>
      </c>
      <c r="G661" s="56" t="str">
        <f t="shared" si="33"/>
        <v/>
      </c>
      <c r="H661" s="73"/>
      <c r="I661" s="73"/>
      <c r="J661" s="112" t="str">
        <f t="shared" si="34"/>
        <v/>
      </c>
      <c r="K661" s="68"/>
    </row>
    <row r="662" spans="1:11" x14ac:dyDescent="0.2">
      <c r="A662" s="108"/>
      <c r="B662" s="72" t="str">
        <f>IF(A662&lt;&gt;"",'EDC - PARAMETRAGE'!$A$3,"")</f>
        <v/>
      </c>
      <c r="C662" s="72" t="str">
        <f>IF(A662&lt;&gt;"",VLOOKUP(A662,'EDC - PRODUCTION'!$A$7:$E$49,5,FALSE),"")</f>
        <v/>
      </c>
      <c r="D662" s="72" t="str">
        <f>IF(A662&lt;&gt;"",VLOOKUP(A662,'EDC - PRODUCTION'!$A$7:$I$49,4,FALSE),"")</f>
        <v/>
      </c>
      <c r="E662" s="44"/>
      <c r="F662" s="45" t="str">
        <f t="shared" si="32"/>
        <v/>
      </c>
      <c r="G662" s="56" t="str">
        <f t="shared" si="33"/>
        <v/>
      </c>
      <c r="H662" s="73"/>
      <c r="I662" s="73"/>
      <c r="J662" s="112" t="str">
        <f t="shared" si="34"/>
        <v/>
      </c>
      <c r="K662" s="68"/>
    </row>
    <row r="663" spans="1:11" x14ac:dyDescent="0.2">
      <c r="A663" s="108"/>
      <c r="B663" s="72" t="str">
        <f>IF(A663&lt;&gt;"",'EDC - PARAMETRAGE'!$A$3,"")</f>
        <v/>
      </c>
      <c r="C663" s="72" t="str">
        <f>IF(A663&lt;&gt;"",VLOOKUP(A663,'EDC - PRODUCTION'!$A$7:$E$49,5,FALSE),"")</f>
        <v/>
      </c>
      <c r="D663" s="72" t="str">
        <f>IF(A663&lt;&gt;"",VLOOKUP(A663,'EDC - PRODUCTION'!$A$7:$I$49,4,FALSE),"")</f>
        <v/>
      </c>
      <c r="E663" s="44"/>
      <c r="F663" s="45" t="str">
        <f t="shared" si="32"/>
        <v/>
      </c>
      <c r="G663" s="56" t="str">
        <f t="shared" si="33"/>
        <v/>
      </c>
      <c r="H663" s="73"/>
      <c r="I663" s="73"/>
      <c r="J663" s="112" t="str">
        <f t="shared" si="34"/>
        <v/>
      </c>
      <c r="K663" s="68"/>
    </row>
    <row r="664" spans="1:11" x14ac:dyDescent="0.2">
      <c r="A664" s="108"/>
      <c r="B664" s="72" t="str">
        <f>IF(A664&lt;&gt;"",'EDC - PARAMETRAGE'!$A$3,"")</f>
        <v/>
      </c>
      <c r="C664" s="72" t="str">
        <f>IF(A664&lt;&gt;"",VLOOKUP(A664,'EDC - PRODUCTION'!$A$7:$E$49,5,FALSE),"")</f>
        <v/>
      </c>
      <c r="D664" s="72" t="str">
        <f>IF(A664&lt;&gt;"",VLOOKUP(A664,'EDC - PRODUCTION'!$A$7:$I$49,4,FALSE),"")</f>
        <v/>
      </c>
      <c r="E664" s="44"/>
      <c r="F664" s="45" t="str">
        <f t="shared" si="32"/>
        <v/>
      </c>
      <c r="G664" s="56" t="str">
        <f t="shared" si="33"/>
        <v/>
      </c>
      <c r="H664" s="73"/>
      <c r="I664" s="73"/>
      <c r="J664" s="112" t="str">
        <f t="shared" si="34"/>
        <v/>
      </c>
      <c r="K664" s="68"/>
    </row>
    <row r="665" spans="1:11" x14ac:dyDescent="0.2">
      <c r="A665" s="108"/>
      <c r="B665" s="72" t="str">
        <f>IF(A665&lt;&gt;"",'EDC - PARAMETRAGE'!$A$3,"")</f>
        <v/>
      </c>
      <c r="C665" s="72" t="str">
        <f>IF(A665&lt;&gt;"",VLOOKUP(A665,'EDC - PRODUCTION'!$A$7:$E$49,5,FALSE),"")</f>
        <v/>
      </c>
      <c r="D665" s="72" t="str">
        <f>IF(A665&lt;&gt;"",VLOOKUP(A665,'EDC - PRODUCTION'!$A$7:$I$49,4,FALSE),"")</f>
        <v/>
      </c>
      <c r="E665" s="44"/>
      <c r="F665" s="45" t="str">
        <f t="shared" si="32"/>
        <v/>
      </c>
      <c r="G665" s="56" t="str">
        <f t="shared" si="33"/>
        <v/>
      </c>
      <c r="H665" s="73"/>
      <c r="I665" s="73"/>
      <c r="J665" s="112" t="str">
        <f t="shared" si="34"/>
        <v/>
      </c>
      <c r="K665" s="68"/>
    </row>
    <row r="666" spans="1:11" x14ac:dyDescent="0.2">
      <c r="A666" s="108"/>
      <c r="B666" s="72" t="str">
        <f>IF(A666&lt;&gt;"",'EDC - PARAMETRAGE'!$A$3,"")</f>
        <v/>
      </c>
      <c r="C666" s="72" t="str">
        <f>IF(A666&lt;&gt;"",VLOOKUP(A666,'EDC - PRODUCTION'!$A$7:$E$49,5,FALSE),"")</f>
        <v/>
      </c>
      <c r="D666" s="72" t="str">
        <f>IF(A666&lt;&gt;"",VLOOKUP(A666,'EDC - PRODUCTION'!$A$7:$I$49,4,FALSE),"")</f>
        <v/>
      </c>
      <c r="E666" s="44"/>
      <c r="F666" s="45" t="str">
        <f t="shared" si="32"/>
        <v/>
      </c>
      <c r="G666" s="56" t="str">
        <f t="shared" si="33"/>
        <v/>
      </c>
      <c r="H666" s="73"/>
      <c r="I666" s="73"/>
      <c r="J666" s="112" t="str">
        <f t="shared" si="34"/>
        <v/>
      </c>
      <c r="K666" s="68"/>
    </row>
    <row r="667" spans="1:11" x14ac:dyDescent="0.2">
      <c r="A667" s="108"/>
      <c r="B667" s="72" t="str">
        <f>IF(A667&lt;&gt;"",'EDC - PARAMETRAGE'!$A$3,"")</f>
        <v/>
      </c>
      <c r="C667" s="72" t="str">
        <f>IF(A667&lt;&gt;"",VLOOKUP(A667,'EDC - PRODUCTION'!$A$7:$E$49,5,FALSE),"")</f>
        <v/>
      </c>
      <c r="D667" s="72" t="str">
        <f>IF(A667&lt;&gt;"",VLOOKUP(A667,'EDC - PRODUCTION'!$A$7:$I$49,4,FALSE),"")</f>
        <v/>
      </c>
      <c r="E667" s="44"/>
      <c r="F667" s="45" t="str">
        <f t="shared" si="32"/>
        <v/>
      </c>
      <c r="G667" s="56" t="str">
        <f t="shared" si="33"/>
        <v/>
      </c>
      <c r="H667" s="73"/>
      <c r="I667" s="73"/>
      <c r="J667" s="112" t="str">
        <f t="shared" si="34"/>
        <v/>
      </c>
      <c r="K667" s="68"/>
    </row>
    <row r="668" spans="1:11" x14ac:dyDescent="0.2">
      <c r="A668" s="108"/>
      <c r="B668" s="72" t="str">
        <f>IF(A668&lt;&gt;"",'EDC - PARAMETRAGE'!$A$3,"")</f>
        <v/>
      </c>
      <c r="C668" s="72" t="str">
        <f>IF(A668&lt;&gt;"",VLOOKUP(A668,'EDC - PRODUCTION'!$A$7:$E$49,5,FALSE),"")</f>
        <v/>
      </c>
      <c r="D668" s="72" t="str">
        <f>IF(A668&lt;&gt;"",VLOOKUP(A668,'EDC - PRODUCTION'!$A$7:$I$49,4,FALSE),"")</f>
        <v/>
      </c>
      <c r="E668" s="44"/>
      <c r="F668" s="45" t="str">
        <f t="shared" si="32"/>
        <v/>
      </c>
      <c r="G668" s="56" t="str">
        <f t="shared" si="33"/>
        <v/>
      </c>
      <c r="H668" s="73"/>
      <c r="I668" s="73"/>
      <c r="J668" s="112" t="str">
        <f t="shared" si="34"/>
        <v/>
      </c>
      <c r="K668" s="68"/>
    </row>
    <row r="669" spans="1:11" x14ac:dyDescent="0.2">
      <c r="A669" s="108"/>
      <c r="B669" s="72" t="str">
        <f>IF(A669&lt;&gt;"",'EDC - PARAMETRAGE'!$A$3,"")</f>
        <v/>
      </c>
      <c r="C669" s="72" t="str">
        <f>IF(A669&lt;&gt;"",VLOOKUP(A669,'EDC - PRODUCTION'!$A$7:$E$49,5,FALSE),"")</f>
        <v/>
      </c>
      <c r="D669" s="72" t="str">
        <f>IF(A669&lt;&gt;"",VLOOKUP(A669,'EDC - PRODUCTION'!$A$7:$I$49,4,FALSE),"")</f>
        <v/>
      </c>
      <c r="E669" s="44"/>
      <c r="F669" s="45" t="str">
        <f t="shared" si="32"/>
        <v/>
      </c>
      <c r="G669" s="56" t="str">
        <f t="shared" si="33"/>
        <v/>
      </c>
      <c r="H669" s="73"/>
      <c r="I669" s="73"/>
      <c r="J669" s="112" t="str">
        <f t="shared" si="34"/>
        <v/>
      </c>
      <c r="K669" s="68"/>
    </row>
    <row r="670" spans="1:11" x14ac:dyDescent="0.2">
      <c r="A670" s="108"/>
      <c r="B670" s="72" t="str">
        <f>IF(A670&lt;&gt;"",'EDC - PARAMETRAGE'!$A$3,"")</f>
        <v/>
      </c>
      <c r="C670" s="72" t="str">
        <f>IF(A670&lt;&gt;"",VLOOKUP(A670,'EDC - PRODUCTION'!$A$7:$E$49,5,FALSE),"")</f>
        <v/>
      </c>
      <c r="D670" s="72" t="str">
        <f>IF(A670&lt;&gt;"",VLOOKUP(A670,'EDC - PRODUCTION'!$A$7:$I$49,4,FALSE),"")</f>
        <v/>
      </c>
      <c r="E670" s="44"/>
      <c r="F670" s="45" t="str">
        <f t="shared" si="32"/>
        <v/>
      </c>
      <c r="G670" s="56" t="str">
        <f t="shared" si="33"/>
        <v/>
      </c>
      <c r="H670" s="73"/>
      <c r="I670" s="73"/>
      <c r="J670" s="112" t="str">
        <f t="shared" si="34"/>
        <v/>
      </c>
      <c r="K670" s="68"/>
    </row>
    <row r="671" spans="1:11" x14ac:dyDescent="0.2">
      <c r="A671" s="108"/>
      <c r="B671" s="72" t="str">
        <f>IF(A671&lt;&gt;"",'EDC - PARAMETRAGE'!$A$3,"")</f>
        <v/>
      </c>
      <c r="C671" s="72" t="str">
        <f>IF(A671&lt;&gt;"",VLOOKUP(A671,'EDC - PRODUCTION'!$A$7:$E$49,5,FALSE),"")</f>
        <v/>
      </c>
      <c r="D671" s="72" t="str">
        <f>IF(A671&lt;&gt;"",VLOOKUP(A671,'EDC - PRODUCTION'!$A$7:$I$49,4,FALSE),"")</f>
        <v/>
      </c>
      <c r="E671" s="44"/>
      <c r="F671" s="45" t="str">
        <f t="shared" si="32"/>
        <v/>
      </c>
      <c r="G671" s="56" t="str">
        <f t="shared" si="33"/>
        <v/>
      </c>
      <c r="H671" s="73"/>
      <c r="I671" s="73"/>
      <c r="J671" s="112" t="str">
        <f t="shared" si="34"/>
        <v/>
      </c>
      <c r="K671" s="68"/>
    </row>
    <row r="672" spans="1:11" x14ac:dyDescent="0.2">
      <c r="A672" s="108"/>
      <c r="B672" s="72" t="str">
        <f>IF(A672&lt;&gt;"",'EDC - PARAMETRAGE'!$A$3,"")</f>
        <v/>
      </c>
      <c r="C672" s="72" t="str">
        <f>IF(A672&lt;&gt;"",VLOOKUP(A672,'EDC - PRODUCTION'!$A$7:$E$49,5,FALSE),"")</f>
        <v/>
      </c>
      <c r="D672" s="72" t="str">
        <f>IF(A672&lt;&gt;"",VLOOKUP(A672,'EDC - PRODUCTION'!$A$7:$I$49,4,FALSE),"")</f>
        <v/>
      </c>
      <c r="E672" s="44"/>
      <c r="F672" s="45" t="str">
        <f t="shared" si="32"/>
        <v/>
      </c>
      <c r="G672" s="56" t="str">
        <f t="shared" si="33"/>
        <v/>
      </c>
      <c r="H672" s="73"/>
      <c r="I672" s="73"/>
      <c r="J672" s="112" t="str">
        <f t="shared" si="34"/>
        <v/>
      </c>
      <c r="K672" s="68"/>
    </row>
    <row r="673" spans="1:11" x14ac:dyDescent="0.2">
      <c r="A673" s="108"/>
      <c r="B673" s="72" t="str">
        <f>IF(A673&lt;&gt;"",'EDC - PARAMETRAGE'!$A$3,"")</f>
        <v/>
      </c>
      <c r="C673" s="72" t="str">
        <f>IF(A673&lt;&gt;"",VLOOKUP(A673,'EDC - PRODUCTION'!$A$7:$E$49,5,FALSE),"")</f>
        <v/>
      </c>
      <c r="D673" s="72" t="str">
        <f>IF(A673&lt;&gt;"",VLOOKUP(A673,'EDC - PRODUCTION'!$A$7:$I$49,4,FALSE),"")</f>
        <v/>
      </c>
      <c r="E673" s="44"/>
      <c r="F673" s="45" t="str">
        <f t="shared" si="32"/>
        <v/>
      </c>
      <c r="G673" s="56" t="str">
        <f t="shared" si="33"/>
        <v/>
      </c>
      <c r="H673" s="73"/>
      <c r="I673" s="73"/>
      <c r="J673" s="112" t="str">
        <f t="shared" si="34"/>
        <v/>
      </c>
      <c r="K673" s="68"/>
    </row>
    <row r="674" spans="1:11" x14ac:dyDescent="0.2">
      <c r="A674" s="108"/>
      <c r="B674" s="72" t="str">
        <f>IF(A674&lt;&gt;"",'EDC - PARAMETRAGE'!$A$3,"")</f>
        <v/>
      </c>
      <c r="C674" s="72" t="str">
        <f>IF(A674&lt;&gt;"",VLOOKUP(A674,'EDC - PRODUCTION'!$A$7:$E$49,5,FALSE),"")</f>
        <v/>
      </c>
      <c r="D674" s="72" t="str">
        <f>IF(A674&lt;&gt;"",VLOOKUP(A674,'EDC - PRODUCTION'!$A$7:$I$49,4,FALSE),"")</f>
        <v/>
      </c>
      <c r="E674" s="44"/>
      <c r="F674" s="45" t="str">
        <f t="shared" si="32"/>
        <v/>
      </c>
      <c r="G674" s="56" t="str">
        <f t="shared" si="33"/>
        <v/>
      </c>
      <c r="H674" s="73"/>
      <c r="I674" s="73"/>
      <c r="J674" s="112" t="str">
        <f t="shared" si="34"/>
        <v/>
      </c>
      <c r="K674" s="68"/>
    </row>
    <row r="675" spans="1:11" x14ac:dyDescent="0.2">
      <c r="A675" s="108"/>
      <c r="B675" s="72" t="str">
        <f>IF(A675&lt;&gt;"",'EDC - PARAMETRAGE'!$A$3,"")</f>
        <v/>
      </c>
      <c r="C675" s="72" t="str">
        <f>IF(A675&lt;&gt;"",VLOOKUP(A675,'EDC - PRODUCTION'!$A$7:$E$49,5,FALSE),"")</f>
        <v/>
      </c>
      <c r="D675" s="72" t="str">
        <f>IF(A675&lt;&gt;"",VLOOKUP(A675,'EDC - PRODUCTION'!$A$7:$I$49,4,FALSE),"")</f>
        <v/>
      </c>
      <c r="E675" s="44"/>
      <c r="F675" s="45" t="str">
        <f t="shared" si="32"/>
        <v/>
      </c>
      <c r="G675" s="56" t="str">
        <f t="shared" si="33"/>
        <v/>
      </c>
      <c r="H675" s="73"/>
      <c r="I675" s="73"/>
      <c r="J675" s="112" t="str">
        <f t="shared" si="34"/>
        <v/>
      </c>
      <c r="K675" s="68"/>
    </row>
    <row r="676" spans="1:11" x14ac:dyDescent="0.2">
      <c r="A676" s="108"/>
      <c r="B676" s="72" t="str">
        <f>IF(A676&lt;&gt;"",'EDC - PARAMETRAGE'!$A$3,"")</f>
        <v/>
      </c>
      <c r="C676" s="72" t="str">
        <f>IF(A676&lt;&gt;"",VLOOKUP(A676,'EDC - PRODUCTION'!$A$7:$E$49,5,FALSE),"")</f>
        <v/>
      </c>
      <c r="D676" s="72" t="str">
        <f>IF(A676&lt;&gt;"",VLOOKUP(A676,'EDC - PRODUCTION'!$A$7:$I$49,4,FALSE),"")</f>
        <v/>
      </c>
      <c r="E676" s="44"/>
      <c r="F676" s="45" t="str">
        <f t="shared" si="32"/>
        <v/>
      </c>
      <c r="G676" s="56" t="str">
        <f t="shared" si="33"/>
        <v/>
      </c>
      <c r="H676" s="73"/>
      <c r="I676" s="73"/>
      <c r="J676" s="112" t="str">
        <f t="shared" si="34"/>
        <v/>
      </c>
      <c r="K676" s="68"/>
    </row>
    <row r="677" spans="1:11" x14ac:dyDescent="0.2">
      <c r="A677" s="108"/>
      <c r="B677" s="72" t="str">
        <f>IF(A677&lt;&gt;"",'EDC - PARAMETRAGE'!$A$3,"")</f>
        <v/>
      </c>
      <c r="C677" s="72" t="str">
        <f>IF(A677&lt;&gt;"",VLOOKUP(A677,'EDC - PRODUCTION'!$A$7:$E$49,5,FALSE),"")</f>
        <v/>
      </c>
      <c r="D677" s="72" t="str">
        <f>IF(A677&lt;&gt;"",VLOOKUP(A677,'EDC - PRODUCTION'!$A$7:$I$49,4,FALSE),"")</f>
        <v/>
      </c>
      <c r="E677" s="44"/>
      <c r="F677" s="45" t="str">
        <f t="shared" si="32"/>
        <v/>
      </c>
      <c r="G677" s="56" t="str">
        <f t="shared" si="33"/>
        <v/>
      </c>
      <c r="H677" s="73"/>
      <c r="I677" s="73"/>
      <c r="J677" s="112" t="str">
        <f t="shared" si="34"/>
        <v/>
      </c>
      <c r="K677" s="68"/>
    </row>
    <row r="678" spans="1:11" x14ac:dyDescent="0.2">
      <c r="A678" s="108"/>
      <c r="B678" s="72" t="str">
        <f>IF(A678&lt;&gt;"",'EDC - PARAMETRAGE'!$A$3,"")</f>
        <v/>
      </c>
      <c r="C678" s="72" t="str">
        <f>IF(A678&lt;&gt;"",VLOOKUP(A678,'EDC - PRODUCTION'!$A$7:$E$49,5,FALSE),"")</f>
        <v/>
      </c>
      <c r="D678" s="72" t="str">
        <f>IF(A678&lt;&gt;"",VLOOKUP(A678,'EDC - PRODUCTION'!$A$7:$I$49,4,FALSE),"")</f>
        <v/>
      </c>
      <c r="E678" s="44"/>
      <c r="F678" s="45" t="str">
        <f t="shared" si="32"/>
        <v/>
      </c>
      <c r="G678" s="56" t="str">
        <f t="shared" si="33"/>
        <v/>
      </c>
      <c r="H678" s="73"/>
      <c r="I678" s="73"/>
      <c r="J678" s="112" t="str">
        <f t="shared" si="34"/>
        <v/>
      </c>
      <c r="K678" s="68"/>
    </row>
    <row r="679" spans="1:11" x14ac:dyDescent="0.2">
      <c r="A679" s="108"/>
      <c r="B679" s="72" t="str">
        <f>IF(A679&lt;&gt;"",'EDC - PARAMETRAGE'!$A$3,"")</f>
        <v/>
      </c>
      <c r="C679" s="72" t="str">
        <f>IF(A679&lt;&gt;"",VLOOKUP(A679,'EDC - PRODUCTION'!$A$7:$E$49,5,FALSE),"")</f>
        <v/>
      </c>
      <c r="D679" s="72" t="str">
        <f>IF(A679&lt;&gt;"",VLOOKUP(A679,'EDC - PRODUCTION'!$A$7:$I$49,4,FALSE),"")</f>
        <v/>
      </c>
      <c r="E679" s="44"/>
      <c r="F679" s="45" t="str">
        <f t="shared" si="32"/>
        <v/>
      </c>
      <c r="G679" s="56" t="str">
        <f t="shared" si="33"/>
        <v/>
      </c>
      <c r="H679" s="73"/>
      <c r="I679" s="73"/>
      <c r="J679" s="112" t="str">
        <f t="shared" si="34"/>
        <v/>
      </c>
      <c r="K679" s="68"/>
    </row>
    <row r="680" spans="1:11" x14ac:dyDescent="0.2">
      <c r="A680" s="108"/>
      <c r="B680" s="72" t="str">
        <f>IF(A680&lt;&gt;"",'EDC - PARAMETRAGE'!$A$3,"")</f>
        <v/>
      </c>
      <c r="C680" s="72" t="str">
        <f>IF(A680&lt;&gt;"",VLOOKUP(A680,'EDC - PRODUCTION'!$A$7:$E$49,5,FALSE),"")</f>
        <v/>
      </c>
      <c r="D680" s="72" t="str">
        <f>IF(A680&lt;&gt;"",VLOOKUP(A680,'EDC - PRODUCTION'!$A$7:$I$49,4,FALSE),"")</f>
        <v/>
      </c>
      <c r="E680" s="44"/>
      <c r="F680" s="45" t="str">
        <f t="shared" si="32"/>
        <v/>
      </c>
      <c r="G680" s="56" t="str">
        <f t="shared" si="33"/>
        <v/>
      </c>
      <c r="H680" s="73"/>
      <c r="I680" s="73"/>
      <c r="J680" s="112" t="str">
        <f t="shared" si="34"/>
        <v/>
      </c>
      <c r="K680" s="68"/>
    </row>
    <row r="681" spans="1:11" x14ac:dyDescent="0.2">
      <c r="A681" s="108"/>
      <c r="B681" s="72" t="str">
        <f>IF(A681&lt;&gt;"",'EDC - PARAMETRAGE'!$A$3,"")</f>
        <v/>
      </c>
      <c r="C681" s="72" t="str">
        <f>IF(A681&lt;&gt;"",VLOOKUP(A681,'EDC - PRODUCTION'!$A$7:$E$49,5,FALSE),"")</f>
        <v/>
      </c>
      <c r="D681" s="72" t="str">
        <f>IF(A681&lt;&gt;"",VLOOKUP(A681,'EDC - PRODUCTION'!$A$7:$I$49,4,FALSE),"")</f>
        <v/>
      </c>
      <c r="E681" s="44"/>
      <c r="F681" s="45" t="str">
        <f t="shared" si="32"/>
        <v/>
      </c>
      <c r="G681" s="56" t="str">
        <f t="shared" si="33"/>
        <v/>
      </c>
      <c r="H681" s="73"/>
      <c r="I681" s="73"/>
      <c r="J681" s="112" t="str">
        <f t="shared" si="34"/>
        <v/>
      </c>
      <c r="K681" s="68"/>
    </row>
    <row r="682" spans="1:11" x14ac:dyDescent="0.2">
      <c r="A682" s="108"/>
      <c r="B682" s="72" t="str">
        <f>IF(A682&lt;&gt;"",'EDC - PARAMETRAGE'!$A$3,"")</f>
        <v/>
      </c>
      <c r="C682" s="72" t="str">
        <f>IF(A682&lt;&gt;"",VLOOKUP(A682,'EDC - PRODUCTION'!$A$7:$E$49,5,FALSE),"")</f>
        <v/>
      </c>
      <c r="D682" s="72" t="str">
        <f>IF(A682&lt;&gt;"",VLOOKUP(A682,'EDC - PRODUCTION'!$A$7:$I$49,4,FALSE),"")</f>
        <v/>
      </c>
      <c r="E682" s="44"/>
      <c r="F682" s="45" t="str">
        <f t="shared" si="32"/>
        <v/>
      </c>
      <c r="G682" s="56" t="str">
        <f t="shared" si="33"/>
        <v/>
      </c>
      <c r="H682" s="73"/>
      <c r="I682" s="73"/>
      <c r="J682" s="112" t="str">
        <f t="shared" si="34"/>
        <v/>
      </c>
      <c r="K682" s="68"/>
    </row>
    <row r="683" spans="1:11" x14ac:dyDescent="0.2">
      <c r="A683" s="108"/>
      <c r="B683" s="72" t="str">
        <f>IF(A683&lt;&gt;"",'EDC - PARAMETRAGE'!$A$3,"")</f>
        <v/>
      </c>
      <c r="C683" s="72" t="str">
        <f>IF(A683&lt;&gt;"",VLOOKUP(A683,'EDC - PRODUCTION'!$A$7:$E$49,5,FALSE),"")</f>
        <v/>
      </c>
      <c r="D683" s="72" t="str">
        <f>IF(A683&lt;&gt;"",VLOOKUP(A683,'EDC - PRODUCTION'!$A$7:$I$49,4,FALSE),"")</f>
        <v/>
      </c>
      <c r="E683" s="44"/>
      <c r="F683" s="45" t="str">
        <f t="shared" si="32"/>
        <v/>
      </c>
      <c r="G683" s="56" t="str">
        <f t="shared" si="33"/>
        <v/>
      </c>
      <c r="H683" s="73"/>
      <c r="I683" s="73"/>
      <c r="J683" s="112" t="str">
        <f t="shared" si="34"/>
        <v/>
      </c>
      <c r="K683" s="68"/>
    </row>
    <row r="684" spans="1:11" x14ac:dyDescent="0.2">
      <c r="A684" s="108"/>
      <c r="B684" s="72" t="str">
        <f>IF(A684&lt;&gt;"",'EDC - PARAMETRAGE'!$A$3,"")</f>
        <v/>
      </c>
      <c r="C684" s="72" t="str">
        <f>IF(A684&lt;&gt;"",VLOOKUP(A684,'EDC - PRODUCTION'!$A$7:$E$49,5,FALSE),"")</f>
        <v/>
      </c>
      <c r="D684" s="72" t="str">
        <f>IF(A684&lt;&gt;"",VLOOKUP(A684,'EDC - PRODUCTION'!$A$7:$I$49,4,FALSE),"")</f>
        <v/>
      </c>
      <c r="E684" s="44"/>
      <c r="F684" s="45" t="str">
        <f t="shared" si="32"/>
        <v/>
      </c>
      <c r="G684" s="56" t="str">
        <f t="shared" si="33"/>
        <v/>
      </c>
      <c r="H684" s="73"/>
      <c r="I684" s="73"/>
      <c r="J684" s="112" t="str">
        <f t="shared" si="34"/>
        <v/>
      </c>
      <c r="K684" s="68"/>
    </row>
    <row r="685" spans="1:11" x14ac:dyDescent="0.2">
      <c r="A685" s="108"/>
      <c r="B685" s="72" t="str">
        <f>IF(A685&lt;&gt;"",'EDC - PARAMETRAGE'!$A$3,"")</f>
        <v/>
      </c>
      <c r="C685" s="72" t="str">
        <f>IF(A685&lt;&gt;"",VLOOKUP(A685,'EDC - PRODUCTION'!$A$7:$E$49,5,FALSE),"")</f>
        <v/>
      </c>
      <c r="D685" s="72" t="str">
        <f>IF(A685&lt;&gt;"",VLOOKUP(A685,'EDC - PRODUCTION'!$A$7:$I$49,4,FALSE),"")</f>
        <v/>
      </c>
      <c r="E685" s="44"/>
      <c r="F685" s="45" t="str">
        <f t="shared" si="32"/>
        <v/>
      </c>
      <c r="G685" s="56" t="str">
        <f t="shared" si="33"/>
        <v/>
      </c>
      <c r="H685" s="73"/>
      <c r="I685" s="73"/>
      <c r="J685" s="112" t="str">
        <f t="shared" si="34"/>
        <v/>
      </c>
      <c r="K685" s="68"/>
    </row>
    <row r="686" spans="1:11" x14ac:dyDescent="0.2">
      <c r="A686" s="108"/>
      <c r="B686" s="72" t="str">
        <f>IF(A686&lt;&gt;"",'EDC - PARAMETRAGE'!$A$3,"")</f>
        <v/>
      </c>
      <c r="C686" s="72" t="str">
        <f>IF(A686&lt;&gt;"",VLOOKUP(A686,'EDC - PRODUCTION'!$A$7:$E$49,5,FALSE),"")</f>
        <v/>
      </c>
      <c r="D686" s="72" t="str">
        <f>IF(A686&lt;&gt;"",VLOOKUP(A686,'EDC - PRODUCTION'!$A$7:$I$49,4,FALSE),"")</f>
        <v/>
      </c>
      <c r="E686" s="44"/>
      <c r="F686" s="45" t="str">
        <f t="shared" si="32"/>
        <v/>
      </c>
      <c r="G686" s="56" t="str">
        <f t="shared" si="33"/>
        <v/>
      </c>
      <c r="H686" s="73"/>
      <c r="I686" s="73"/>
      <c r="J686" s="112" t="str">
        <f t="shared" si="34"/>
        <v/>
      </c>
      <c r="K686" s="68"/>
    </row>
    <row r="687" spans="1:11" x14ac:dyDescent="0.2">
      <c r="A687" s="108"/>
      <c r="B687" s="72" t="str">
        <f>IF(A687&lt;&gt;"",'EDC - PARAMETRAGE'!$A$3,"")</f>
        <v/>
      </c>
      <c r="C687" s="72" t="str">
        <f>IF(A687&lt;&gt;"",VLOOKUP(A687,'EDC - PRODUCTION'!$A$7:$E$49,5,FALSE),"")</f>
        <v/>
      </c>
      <c r="D687" s="72" t="str">
        <f>IF(A687&lt;&gt;"",VLOOKUP(A687,'EDC - PRODUCTION'!$A$7:$I$49,4,FALSE),"")</f>
        <v/>
      </c>
      <c r="E687" s="44"/>
      <c r="F687" s="45" t="str">
        <f t="shared" si="32"/>
        <v/>
      </c>
      <c r="G687" s="56" t="str">
        <f t="shared" si="33"/>
        <v/>
      </c>
      <c r="H687" s="73"/>
      <c r="I687" s="73"/>
      <c r="J687" s="112" t="str">
        <f t="shared" si="34"/>
        <v/>
      </c>
      <c r="K687" s="68"/>
    </row>
    <row r="688" spans="1:11" x14ac:dyDescent="0.2">
      <c r="A688" s="108"/>
      <c r="B688" s="72" t="str">
        <f>IF(A688&lt;&gt;"",'EDC - PARAMETRAGE'!$A$3,"")</f>
        <v/>
      </c>
      <c r="C688" s="72" t="str">
        <f>IF(A688&lt;&gt;"",VLOOKUP(A688,'EDC - PRODUCTION'!$A$7:$E$49,5,FALSE),"")</f>
        <v/>
      </c>
      <c r="D688" s="72" t="str">
        <f>IF(A688&lt;&gt;"",VLOOKUP(A688,'EDC - PRODUCTION'!$A$7:$I$49,4,FALSE),"")</f>
        <v/>
      </c>
      <c r="E688" s="44"/>
      <c r="F688" s="45" t="str">
        <f t="shared" si="32"/>
        <v/>
      </c>
      <c r="G688" s="56" t="str">
        <f t="shared" si="33"/>
        <v/>
      </c>
      <c r="H688" s="73"/>
      <c r="I688" s="73"/>
      <c r="J688" s="112" t="str">
        <f t="shared" si="34"/>
        <v/>
      </c>
      <c r="K688" s="68"/>
    </row>
    <row r="689" spans="1:11" x14ac:dyDescent="0.2">
      <c r="A689" s="108"/>
      <c r="B689" s="72" t="str">
        <f>IF(A689&lt;&gt;"",'EDC - PARAMETRAGE'!$A$3,"")</f>
        <v/>
      </c>
      <c r="C689" s="72" t="str">
        <f>IF(A689&lt;&gt;"",VLOOKUP(A689,'EDC - PRODUCTION'!$A$7:$E$49,5,FALSE),"")</f>
        <v/>
      </c>
      <c r="D689" s="72" t="str">
        <f>IF(A689&lt;&gt;"",VLOOKUP(A689,'EDC - PRODUCTION'!$A$7:$I$49,4,FALSE),"")</f>
        <v/>
      </c>
      <c r="E689" s="44"/>
      <c r="F689" s="45" t="str">
        <f t="shared" si="32"/>
        <v/>
      </c>
      <c r="G689" s="56" t="str">
        <f t="shared" si="33"/>
        <v/>
      </c>
      <c r="H689" s="73"/>
      <c r="I689" s="73"/>
      <c r="J689" s="112" t="str">
        <f t="shared" si="34"/>
        <v/>
      </c>
      <c r="K689" s="68"/>
    </row>
    <row r="690" spans="1:11" x14ac:dyDescent="0.2">
      <c r="A690" s="108"/>
      <c r="B690" s="72" t="str">
        <f>IF(A690&lt;&gt;"",'EDC - PARAMETRAGE'!$A$3,"")</f>
        <v/>
      </c>
      <c r="C690" s="72" t="str">
        <f>IF(A690&lt;&gt;"",VLOOKUP(A690,'EDC - PRODUCTION'!$A$7:$E$49,5,FALSE),"")</f>
        <v/>
      </c>
      <c r="D690" s="72" t="str">
        <f>IF(A690&lt;&gt;"",VLOOKUP(A690,'EDC - PRODUCTION'!$A$7:$I$49,4,FALSE),"")</f>
        <v/>
      </c>
      <c r="E690" s="44"/>
      <c r="F690" s="45" t="str">
        <f t="shared" si="32"/>
        <v/>
      </c>
      <c r="G690" s="56" t="str">
        <f t="shared" si="33"/>
        <v/>
      </c>
      <c r="H690" s="73"/>
      <c r="I690" s="73"/>
      <c r="J690" s="112" t="str">
        <f t="shared" si="34"/>
        <v/>
      </c>
      <c r="K690" s="68"/>
    </row>
    <row r="691" spans="1:11" x14ac:dyDescent="0.2">
      <c r="A691" s="108"/>
      <c r="B691" s="72" t="str">
        <f>IF(A691&lt;&gt;"",'EDC - PARAMETRAGE'!$A$3,"")</f>
        <v/>
      </c>
      <c r="C691" s="72" t="str">
        <f>IF(A691&lt;&gt;"",VLOOKUP(A691,'EDC - PRODUCTION'!$A$7:$E$49,5,FALSE),"")</f>
        <v/>
      </c>
      <c r="D691" s="72" t="str">
        <f>IF(A691&lt;&gt;"",VLOOKUP(A691,'EDC - PRODUCTION'!$A$7:$I$49,4,FALSE),"")</f>
        <v/>
      </c>
      <c r="E691" s="44"/>
      <c r="F691" s="45" t="str">
        <f t="shared" si="32"/>
        <v/>
      </c>
      <c r="G691" s="56" t="str">
        <f t="shared" si="33"/>
        <v/>
      </c>
      <c r="H691" s="73"/>
      <c r="I691" s="73"/>
      <c r="J691" s="112" t="str">
        <f t="shared" si="34"/>
        <v/>
      </c>
      <c r="K691" s="68"/>
    </row>
    <row r="692" spans="1:11" x14ac:dyDescent="0.2">
      <c r="A692" s="108"/>
      <c r="B692" s="72" t="str">
        <f>IF(A692&lt;&gt;"",'EDC - PARAMETRAGE'!$A$3,"")</f>
        <v/>
      </c>
      <c r="C692" s="72" t="str">
        <f>IF(A692&lt;&gt;"",VLOOKUP(A692,'EDC - PRODUCTION'!$A$7:$E$49,5,FALSE),"")</f>
        <v/>
      </c>
      <c r="D692" s="72" t="str">
        <f>IF(A692&lt;&gt;"",VLOOKUP(A692,'EDC - PRODUCTION'!$A$7:$I$49,4,FALSE),"")</f>
        <v/>
      </c>
      <c r="E692" s="44"/>
      <c r="F692" s="45" t="str">
        <f t="shared" si="32"/>
        <v/>
      </c>
      <c r="G692" s="56" t="str">
        <f t="shared" si="33"/>
        <v/>
      </c>
      <c r="H692" s="73"/>
      <c r="I692" s="73"/>
      <c r="J692" s="112" t="str">
        <f t="shared" si="34"/>
        <v/>
      </c>
      <c r="K692" s="68"/>
    </row>
    <row r="693" spans="1:11" x14ac:dyDescent="0.2">
      <c r="A693" s="108"/>
      <c r="B693" s="72" t="str">
        <f>IF(A693&lt;&gt;"",'EDC - PARAMETRAGE'!$A$3,"")</f>
        <v/>
      </c>
      <c r="C693" s="72" t="str">
        <f>IF(A693&lt;&gt;"",VLOOKUP(A693,'EDC - PRODUCTION'!$A$7:$E$49,5,FALSE),"")</f>
        <v/>
      </c>
      <c r="D693" s="72" t="str">
        <f>IF(A693&lt;&gt;"",VLOOKUP(A693,'EDC - PRODUCTION'!$A$7:$I$49,4,FALSE),"")</f>
        <v/>
      </c>
      <c r="E693" s="44"/>
      <c r="F693" s="45" t="str">
        <f t="shared" si="32"/>
        <v/>
      </c>
      <c r="G693" s="56" t="str">
        <f t="shared" si="33"/>
        <v/>
      </c>
      <c r="H693" s="73"/>
      <c r="I693" s="73"/>
      <c r="J693" s="112" t="str">
        <f t="shared" si="34"/>
        <v/>
      </c>
      <c r="K693" s="68"/>
    </row>
    <row r="694" spans="1:11" x14ac:dyDescent="0.2">
      <c r="A694" s="108"/>
      <c r="B694" s="72" t="str">
        <f>IF(A694&lt;&gt;"",'EDC - PARAMETRAGE'!$A$3,"")</f>
        <v/>
      </c>
      <c r="C694" s="72" t="str">
        <f>IF(A694&lt;&gt;"",VLOOKUP(A694,'EDC - PRODUCTION'!$A$7:$E$49,5,FALSE),"")</f>
        <v/>
      </c>
      <c r="D694" s="72" t="str">
        <f>IF(A694&lt;&gt;"",VLOOKUP(A694,'EDC - PRODUCTION'!$A$7:$I$49,4,FALSE),"")</f>
        <v/>
      </c>
      <c r="E694" s="44"/>
      <c r="F694" s="45" t="str">
        <f t="shared" si="32"/>
        <v/>
      </c>
      <c r="G694" s="56" t="str">
        <f t="shared" si="33"/>
        <v/>
      </c>
      <c r="H694" s="73"/>
      <c r="I694" s="73"/>
      <c r="J694" s="112" t="str">
        <f t="shared" si="34"/>
        <v/>
      </c>
      <c r="K694" s="68"/>
    </row>
    <row r="695" spans="1:11" x14ac:dyDescent="0.2">
      <c r="A695" s="108"/>
      <c r="B695" s="72" t="str">
        <f>IF(A695&lt;&gt;"",'EDC - PARAMETRAGE'!$A$3,"")</f>
        <v/>
      </c>
      <c r="C695" s="72" t="str">
        <f>IF(A695&lt;&gt;"",VLOOKUP(A695,'EDC - PRODUCTION'!$A$7:$E$49,5,FALSE),"")</f>
        <v/>
      </c>
      <c r="D695" s="72" t="str">
        <f>IF(A695&lt;&gt;"",VLOOKUP(A695,'EDC - PRODUCTION'!$A$7:$I$49,4,FALSE),"")</f>
        <v/>
      </c>
      <c r="E695" s="44"/>
      <c r="F695" s="45" t="str">
        <f t="shared" si="32"/>
        <v/>
      </c>
      <c r="G695" s="56" t="str">
        <f t="shared" si="33"/>
        <v/>
      </c>
      <c r="H695" s="73"/>
      <c r="I695" s="73"/>
      <c r="J695" s="112" t="str">
        <f t="shared" si="34"/>
        <v/>
      </c>
      <c r="K695" s="68"/>
    </row>
    <row r="696" spans="1:11" x14ac:dyDescent="0.2">
      <c r="A696" s="108"/>
      <c r="B696" s="72" t="str">
        <f>IF(A696&lt;&gt;"",'EDC - PARAMETRAGE'!$A$3,"")</f>
        <v/>
      </c>
      <c r="C696" s="72" t="str">
        <f>IF(A696&lt;&gt;"",VLOOKUP(A696,'EDC - PRODUCTION'!$A$7:$E$49,5,FALSE),"")</f>
        <v/>
      </c>
      <c r="D696" s="72" t="str">
        <f>IF(A696&lt;&gt;"",VLOOKUP(A696,'EDC - PRODUCTION'!$A$7:$I$49,4,FALSE),"")</f>
        <v/>
      </c>
      <c r="E696" s="44"/>
      <c r="F696" s="45" t="str">
        <f t="shared" si="32"/>
        <v/>
      </c>
      <c r="G696" s="56" t="str">
        <f t="shared" si="33"/>
        <v/>
      </c>
      <c r="H696" s="73"/>
      <c r="I696" s="73"/>
      <c r="J696" s="112" t="str">
        <f t="shared" si="34"/>
        <v/>
      </c>
      <c r="K696" s="68"/>
    </row>
    <row r="697" spans="1:11" x14ac:dyDescent="0.2">
      <c r="A697" s="108"/>
      <c r="B697" s="72" t="str">
        <f>IF(A697&lt;&gt;"",'EDC - PARAMETRAGE'!$A$3,"")</f>
        <v/>
      </c>
      <c r="C697" s="72" t="str">
        <f>IF(A697&lt;&gt;"",VLOOKUP(A697,'EDC - PRODUCTION'!$A$7:$E$49,5,FALSE),"")</f>
        <v/>
      </c>
      <c r="D697" s="72" t="str">
        <f>IF(A697&lt;&gt;"",VLOOKUP(A697,'EDC - PRODUCTION'!$A$7:$I$49,4,FALSE),"")</f>
        <v/>
      </c>
      <c r="E697" s="44"/>
      <c r="F697" s="45" t="str">
        <f t="shared" si="32"/>
        <v/>
      </c>
      <c r="G697" s="56" t="str">
        <f t="shared" si="33"/>
        <v/>
      </c>
      <c r="H697" s="73"/>
      <c r="I697" s="73"/>
      <c r="J697" s="112" t="str">
        <f t="shared" si="34"/>
        <v/>
      </c>
      <c r="K697" s="68"/>
    </row>
    <row r="698" spans="1:11" x14ac:dyDescent="0.2">
      <c r="A698" s="108"/>
      <c r="B698" s="72" t="str">
        <f>IF(A698&lt;&gt;"",'EDC - PARAMETRAGE'!$A$3,"")</f>
        <v/>
      </c>
      <c r="C698" s="72" t="str">
        <f>IF(A698&lt;&gt;"",VLOOKUP(A698,'EDC - PRODUCTION'!$A$7:$E$49,5,FALSE),"")</f>
        <v/>
      </c>
      <c r="D698" s="72" t="str">
        <f>IF(A698&lt;&gt;"",VLOOKUP(A698,'EDC - PRODUCTION'!$A$7:$I$49,4,FALSE),"")</f>
        <v/>
      </c>
      <c r="E698" s="44"/>
      <c r="F698" s="45" t="str">
        <f t="shared" si="32"/>
        <v/>
      </c>
      <c r="G698" s="56" t="str">
        <f t="shared" si="33"/>
        <v/>
      </c>
      <c r="H698" s="73"/>
      <c r="I698" s="73"/>
      <c r="J698" s="112" t="str">
        <f t="shared" si="34"/>
        <v/>
      </c>
      <c r="K698" s="68"/>
    </row>
    <row r="699" spans="1:11" x14ac:dyDescent="0.2">
      <c r="A699" s="108"/>
      <c r="B699" s="72" t="str">
        <f>IF(A699&lt;&gt;"",'EDC - PARAMETRAGE'!$A$3,"")</f>
        <v/>
      </c>
      <c r="C699" s="72" t="str">
        <f>IF(A699&lt;&gt;"",VLOOKUP(A699,'EDC - PRODUCTION'!$A$7:$E$49,5,FALSE),"")</f>
        <v/>
      </c>
      <c r="D699" s="72" t="str">
        <f>IF(A699&lt;&gt;"",VLOOKUP(A699,'EDC - PRODUCTION'!$A$7:$I$49,4,FALSE),"")</f>
        <v/>
      </c>
      <c r="E699" s="44"/>
      <c r="F699" s="45" t="str">
        <f t="shared" si="32"/>
        <v/>
      </c>
      <c r="G699" s="56" t="str">
        <f t="shared" si="33"/>
        <v/>
      </c>
      <c r="H699" s="73"/>
      <c r="I699" s="73"/>
      <c r="J699" s="112" t="str">
        <f t="shared" si="34"/>
        <v/>
      </c>
      <c r="K699" s="68"/>
    </row>
    <row r="700" spans="1:11" x14ac:dyDescent="0.2">
      <c r="A700" s="108"/>
      <c r="B700" s="72" t="str">
        <f>IF(A700&lt;&gt;"",'EDC - PARAMETRAGE'!$A$3,"")</f>
        <v/>
      </c>
      <c r="C700" s="72" t="str">
        <f>IF(A700&lt;&gt;"",VLOOKUP(A700,'EDC - PRODUCTION'!$A$7:$E$49,5,FALSE),"")</f>
        <v/>
      </c>
      <c r="D700" s="72" t="str">
        <f>IF(A700&lt;&gt;"",VLOOKUP(A700,'EDC - PRODUCTION'!$A$7:$I$49,4,FALSE),"")</f>
        <v/>
      </c>
      <c r="E700" s="44"/>
      <c r="F700" s="45" t="str">
        <f t="shared" si="32"/>
        <v/>
      </c>
      <c r="G700" s="56" t="str">
        <f t="shared" si="33"/>
        <v/>
      </c>
      <c r="H700" s="73"/>
      <c r="I700" s="73"/>
      <c r="J700" s="112" t="str">
        <f t="shared" si="34"/>
        <v/>
      </c>
      <c r="K700" s="68"/>
    </row>
    <row r="701" spans="1:11" x14ac:dyDescent="0.2">
      <c r="A701" s="108"/>
      <c r="B701" s="72" t="str">
        <f>IF(A701&lt;&gt;"",'EDC - PARAMETRAGE'!$A$3,"")</f>
        <v/>
      </c>
      <c r="C701" s="72" t="str">
        <f>IF(A701&lt;&gt;"",VLOOKUP(A701,'EDC - PRODUCTION'!$A$7:$E$49,5,FALSE),"")</f>
        <v/>
      </c>
      <c r="D701" s="72" t="str">
        <f>IF(A701&lt;&gt;"",VLOOKUP(A701,'EDC - PRODUCTION'!$A$7:$I$49,4,FALSE),"")</f>
        <v/>
      </c>
      <c r="E701" s="44"/>
      <c r="F701" s="45" t="str">
        <f t="shared" si="32"/>
        <v/>
      </c>
      <c r="G701" s="56" t="str">
        <f t="shared" si="33"/>
        <v/>
      </c>
      <c r="H701" s="73"/>
      <c r="I701" s="73"/>
      <c r="J701" s="112" t="str">
        <f t="shared" si="34"/>
        <v/>
      </c>
      <c r="K701" s="68"/>
    </row>
    <row r="702" spans="1:11" x14ac:dyDescent="0.2">
      <c r="A702" s="108"/>
      <c r="B702" s="72" t="str">
        <f>IF(A702&lt;&gt;"",'EDC - PARAMETRAGE'!$A$3,"")</f>
        <v/>
      </c>
      <c r="C702" s="72" t="str">
        <f>IF(A702&lt;&gt;"",VLOOKUP(A702,'EDC - PRODUCTION'!$A$7:$E$49,5,FALSE),"")</f>
        <v/>
      </c>
      <c r="D702" s="72" t="str">
        <f>IF(A702&lt;&gt;"",VLOOKUP(A702,'EDC - PRODUCTION'!$A$7:$I$49,4,FALSE),"")</f>
        <v/>
      </c>
      <c r="E702" s="44"/>
      <c r="F702" s="45" t="str">
        <f t="shared" si="32"/>
        <v/>
      </c>
      <c r="G702" s="56" t="str">
        <f t="shared" si="33"/>
        <v/>
      </c>
      <c r="H702" s="73"/>
      <c r="I702" s="73"/>
      <c r="J702" s="112" t="str">
        <f t="shared" si="34"/>
        <v/>
      </c>
      <c r="K702" s="68"/>
    </row>
    <row r="703" spans="1:11" x14ac:dyDescent="0.2">
      <c r="A703" s="108"/>
      <c r="B703" s="72" t="str">
        <f>IF(A703&lt;&gt;"",'EDC - PARAMETRAGE'!$A$3,"")</f>
        <v/>
      </c>
      <c r="C703" s="72" t="str">
        <f>IF(A703&lt;&gt;"",VLOOKUP(A703,'EDC - PRODUCTION'!$A$7:$E$49,5,FALSE),"")</f>
        <v/>
      </c>
      <c r="D703" s="72" t="str">
        <f>IF(A703&lt;&gt;"",VLOOKUP(A703,'EDC - PRODUCTION'!$A$7:$I$49,4,FALSE),"")</f>
        <v/>
      </c>
      <c r="E703" s="44"/>
      <c r="F703" s="45" t="str">
        <f t="shared" si="32"/>
        <v/>
      </c>
      <c r="G703" s="56" t="str">
        <f t="shared" si="33"/>
        <v/>
      </c>
      <c r="H703" s="73"/>
      <c r="I703" s="73"/>
      <c r="J703" s="112" t="str">
        <f t="shared" si="34"/>
        <v/>
      </c>
      <c r="K703" s="68"/>
    </row>
    <row r="704" spans="1:11" x14ac:dyDescent="0.2">
      <c r="A704" s="108"/>
      <c r="B704" s="72" t="str">
        <f>IF(A704&lt;&gt;"",'EDC - PARAMETRAGE'!$A$3,"")</f>
        <v/>
      </c>
      <c r="C704" s="72" t="str">
        <f>IF(A704&lt;&gt;"",VLOOKUP(A704,'EDC - PRODUCTION'!$A$7:$E$49,5,FALSE),"")</f>
        <v/>
      </c>
      <c r="D704" s="72" t="str">
        <f>IF(A704&lt;&gt;"",VLOOKUP(A704,'EDC - PRODUCTION'!$A$7:$I$49,4,FALSE),"")</f>
        <v/>
      </c>
      <c r="E704" s="44"/>
      <c r="F704" s="45" t="str">
        <f t="shared" si="32"/>
        <v/>
      </c>
      <c r="G704" s="56" t="str">
        <f t="shared" si="33"/>
        <v/>
      </c>
      <c r="H704" s="73"/>
      <c r="I704" s="73"/>
      <c r="J704" s="112" t="str">
        <f t="shared" si="34"/>
        <v/>
      </c>
      <c r="K704" s="68"/>
    </row>
    <row r="705" spans="1:11" x14ac:dyDescent="0.2">
      <c r="A705" s="108"/>
      <c r="B705" s="72" t="str">
        <f>IF(A705&lt;&gt;"",'EDC - PARAMETRAGE'!$A$3,"")</f>
        <v/>
      </c>
      <c r="C705" s="72" t="str">
        <f>IF(A705&lt;&gt;"",VLOOKUP(A705,'EDC - PRODUCTION'!$A$7:$E$49,5,FALSE),"")</f>
        <v/>
      </c>
      <c r="D705" s="72" t="str">
        <f>IF(A705&lt;&gt;"",VLOOKUP(A705,'EDC - PRODUCTION'!$A$7:$I$49,4,FALSE),"")</f>
        <v/>
      </c>
      <c r="E705" s="44"/>
      <c r="F705" s="45" t="str">
        <f t="shared" si="32"/>
        <v/>
      </c>
      <c r="G705" s="56" t="str">
        <f t="shared" si="33"/>
        <v/>
      </c>
      <c r="H705" s="73"/>
      <c r="I705" s="73"/>
      <c r="J705" s="112" t="str">
        <f t="shared" si="34"/>
        <v/>
      </c>
      <c r="K705" s="68"/>
    </row>
    <row r="706" spans="1:11" x14ac:dyDescent="0.2">
      <c r="A706" s="108"/>
      <c r="B706" s="72" t="str">
        <f>IF(A706&lt;&gt;"",'EDC - PARAMETRAGE'!$A$3,"")</f>
        <v/>
      </c>
      <c r="C706" s="72" t="str">
        <f>IF(A706&lt;&gt;"",VLOOKUP(A706,'EDC - PRODUCTION'!$A$7:$E$49,5,FALSE),"")</f>
        <v/>
      </c>
      <c r="D706" s="72" t="str">
        <f>IF(A706&lt;&gt;"",VLOOKUP(A706,'EDC - PRODUCTION'!$A$7:$I$49,4,FALSE),"")</f>
        <v/>
      </c>
      <c r="E706" s="44"/>
      <c r="F706" s="45" t="str">
        <f t="shared" si="32"/>
        <v/>
      </c>
      <c r="G706" s="56" t="str">
        <f t="shared" si="33"/>
        <v/>
      </c>
      <c r="H706" s="73"/>
      <c r="I706" s="73"/>
      <c r="J706" s="112" t="str">
        <f t="shared" si="34"/>
        <v/>
      </c>
      <c r="K706" s="68"/>
    </row>
    <row r="707" spans="1:11" x14ac:dyDescent="0.2">
      <c r="A707" s="108"/>
      <c r="B707" s="72" t="str">
        <f>IF(A707&lt;&gt;"",'EDC - PARAMETRAGE'!$A$3,"")</f>
        <v/>
      </c>
      <c r="C707" s="72" t="str">
        <f>IF(A707&lt;&gt;"",VLOOKUP(A707,'EDC - PRODUCTION'!$A$7:$E$49,5,FALSE),"")</f>
        <v/>
      </c>
      <c r="D707" s="72" t="str">
        <f>IF(A707&lt;&gt;"",VLOOKUP(A707,'EDC - PRODUCTION'!$A$7:$I$49,4,FALSE),"")</f>
        <v/>
      </c>
      <c r="E707" s="44"/>
      <c r="F707" s="45" t="str">
        <f t="shared" si="32"/>
        <v/>
      </c>
      <c r="G707" s="56" t="str">
        <f t="shared" si="33"/>
        <v/>
      </c>
      <c r="H707" s="73"/>
      <c r="I707" s="73"/>
      <c r="J707" s="112" t="str">
        <f t="shared" si="34"/>
        <v/>
      </c>
      <c r="K707" s="68"/>
    </row>
    <row r="708" spans="1:11" x14ac:dyDescent="0.2">
      <c r="A708" s="108"/>
      <c r="B708" s="72" t="str">
        <f>IF(A708&lt;&gt;"",'EDC - PARAMETRAGE'!$A$3,"")</f>
        <v/>
      </c>
      <c r="C708" s="72" t="str">
        <f>IF(A708&lt;&gt;"",VLOOKUP(A708,'EDC - PRODUCTION'!$A$7:$E$49,5,FALSE),"")</f>
        <v/>
      </c>
      <c r="D708" s="72" t="str">
        <f>IF(A708&lt;&gt;"",VLOOKUP(A708,'EDC - PRODUCTION'!$A$7:$I$49,4,FALSE),"")</f>
        <v/>
      </c>
      <c r="E708" s="44"/>
      <c r="F708" s="45" t="str">
        <f t="shared" ref="F708:F771" si="35">IF(A708&lt;&gt;"","DDE","")</f>
        <v/>
      </c>
      <c r="G708" s="56" t="str">
        <f t="shared" ref="G708:G771" si="36">IF(A708&lt;&gt;"",1,"")</f>
        <v/>
      </c>
      <c r="H708" s="73"/>
      <c r="I708" s="73"/>
      <c r="J708" s="112" t="str">
        <f t="shared" ref="J708:J771" si="37">IF(A708&lt;&gt;"",SUM(H708:I708),"")</f>
        <v/>
      </c>
      <c r="K708" s="68"/>
    </row>
    <row r="709" spans="1:11" x14ac:dyDescent="0.2">
      <c r="A709" s="108"/>
      <c r="B709" s="72" t="str">
        <f>IF(A709&lt;&gt;"",'EDC - PARAMETRAGE'!$A$3,"")</f>
        <v/>
      </c>
      <c r="C709" s="72" t="str">
        <f>IF(A709&lt;&gt;"",VLOOKUP(A709,'EDC - PRODUCTION'!$A$7:$E$49,5,FALSE),"")</f>
        <v/>
      </c>
      <c r="D709" s="72" t="str">
        <f>IF(A709&lt;&gt;"",VLOOKUP(A709,'EDC - PRODUCTION'!$A$7:$I$49,4,FALSE),"")</f>
        <v/>
      </c>
      <c r="E709" s="44"/>
      <c r="F709" s="45" t="str">
        <f t="shared" si="35"/>
        <v/>
      </c>
      <c r="G709" s="56" t="str">
        <f t="shared" si="36"/>
        <v/>
      </c>
      <c r="H709" s="73"/>
      <c r="I709" s="73"/>
      <c r="J709" s="112" t="str">
        <f t="shared" si="37"/>
        <v/>
      </c>
      <c r="K709" s="68"/>
    </row>
    <row r="710" spans="1:11" x14ac:dyDescent="0.2">
      <c r="A710" s="108"/>
      <c r="B710" s="72" t="str">
        <f>IF(A710&lt;&gt;"",'EDC - PARAMETRAGE'!$A$3,"")</f>
        <v/>
      </c>
      <c r="C710" s="72" t="str">
        <f>IF(A710&lt;&gt;"",VLOOKUP(A710,'EDC - PRODUCTION'!$A$7:$E$49,5,FALSE),"")</f>
        <v/>
      </c>
      <c r="D710" s="72" t="str">
        <f>IF(A710&lt;&gt;"",VLOOKUP(A710,'EDC - PRODUCTION'!$A$7:$I$49,4,FALSE),"")</f>
        <v/>
      </c>
      <c r="E710" s="44"/>
      <c r="F710" s="45" t="str">
        <f t="shared" si="35"/>
        <v/>
      </c>
      <c r="G710" s="56" t="str">
        <f t="shared" si="36"/>
        <v/>
      </c>
      <c r="H710" s="73"/>
      <c r="I710" s="73"/>
      <c r="J710" s="112" t="str">
        <f t="shared" si="37"/>
        <v/>
      </c>
      <c r="K710" s="68"/>
    </row>
    <row r="711" spans="1:11" x14ac:dyDescent="0.2">
      <c r="A711" s="108"/>
      <c r="B711" s="72" t="str">
        <f>IF(A711&lt;&gt;"",'EDC - PARAMETRAGE'!$A$3,"")</f>
        <v/>
      </c>
      <c r="C711" s="72" t="str">
        <f>IF(A711&lt;&gt;"",VLOOKUP(A711,'EDC - PRODUCTION'!$A$7:$E$49,5,FALSE),"")</f>
        <v/>
      </c>
      <c r="D711" s="72" t="str">
        <f>IF(A711&lt;&gt;"",VLOOKUP(A711,'EDC - PRODUCTION'!$A$7:$I$49,4,FALSE),"")</f>
        <v/>
      </c>
      <c r="E711" s="44"/>
      <c r="F711" s="45" t="str">
        <f t="shared" si="35"/>
        <v/>
      </c>
      <c r="G711" s="56" t="str">
        <f t="shared" si="36"/>
        <v/>
      </c>
      <c r="H711" s="73"/>
      <c r="I711" s="73"/>
      <c r="J711" s="112" t="str">
        <f t="shared" si="37"/>
        <v/>
      </c>
      <c r="K711" s="68"/>
    </row>
    <row r="712" spans="1:11" x14ac:dyDescent="0.2">
      <c r="A712" s="108"/>
      <c r="B712" s="72" t="str">
        <f>IF(A712&lt;&gt;"",'EDC - PARAMETRAGE'!$A$3,"")</f>
        <v/>
      </c>
      <c r="C712" s="72" t="str">
        <f>IF(A712&lt;&gt;"",VLOOKUP(A712,'EDC - PRODUCTION'!$A$7:$E$49,5,FALSE),"")</f>
        <v/>
      </c>
      <c r="D712" s="72" t="str">
        <f>IF(A712&lt;&gt;"",VLOOKUP(A712,'EDC - PRODUCTION'!$A$7:$I$49,4,FALSE),"")</f>
        <v/>
      </c>
      <c r="E712" s="44"/>
      <c r="F712" s="45" t="str">
        <f t="shared" si="35"/>
        <v/>
      </c>
      <c r="G712" s="56" t="str">
        <f t="shared" si="36"/>
        <v/>
      </c>
      <c r="H712" s="73"/>
      <c r="I712" s="73"/>
      <c r="J712" s="112" t="str">
        <f t="shared" si="37"/>
        <v/>
      </c>
      <c r="K712" s="68"/>
    </row>
    <row r="713" spans="1:11" x14ac:dyDescent="0.2">
      <c r="A713" s="108"/>
      <c r="B713" s="72" t="str">
        <f>IF(A713&lt;&gt;"",'EDC - PARAMETRAGE'!$A$3,"")</f>
        <v/>
      </c>
      <c r="C713" s="72" t="str">
        <f>IF(A713&lt;&gt;"",VLOOKUP(A713,'EDC - PRODUCTION'!$A$7:$E$49,5,FALSE),"")</f>
        <v/>
      </c>
      <c r="D713" s="72" t="str">
        <f>IF(A713&lt;&gt;"",VLOOKUP(A713,'EDC - PRODUCTION'!$A$7:$I$49,4,FALSE),"")</f>
        <v/>
      </c>
      <c r="E713" s="44"/>
      <c r="F713" s="45" t="str">
        <f t="shared" si="35"/>
        <v/>
      </c>
      <c r="G713" s="56" t="str">
        <f t="shared" si="36"/>
        <v/>
      </c>
      <c r="H713" s="73"/>
      <c r="I713" s="73"/>
      <c r="J713" s="112" t="str">
        <f t="shared" si="37"/>
        <v/>
      </c>
      <c r="K713" s="68"/>
    </row>
    <row r="714" spans="1:11" x14ac:dyDescent="0.2">
      <c r="A714" s="108"/>
      <c r="B714" s="72" t="str">
        <f>IF(A714&lt;&gt;"",'EDC - PARAMETRAGE'!$A$3,"")</f>
        <v/>
      </c>
      <c r="C714" s="72" t="str">
        <f>IF(A714&lt;&gt;"",VLOOKUP(A714,'EDC - PRODUCTION'!$A$7:$E$49,5,FALSE),"")</f>
        <v/>
      </c>
      <c r="D714" s="72" t="str">
        <f>IF(A714&lt;&gt;"",VLOOKUP(A714,'EDC - PRODUCTION'!$A$7:$I$49,4,FALSE),"")</f>
        <v/>
      </c>
      <c r="E714" s="44"/>
      <c r="F714" s="45" t="str">
        <f t="shared" si="35"/>
        <v/>
      </c>
      <c r="G714" s="56" t="str">
        <f t="shared" si="36"/>
        <v/>
      </c>
      <c r="H714" s="73"/>
      <c r="I714" s="73"/>
      <c r="J714" s="112" t="str">
        <f t="shared" si="37"/>
        <v/>
      </c>
      <c r="K714" s="68"/>
    </row>
    <row r="715" spans="1:11" x14ac:dyDescent="0.2">
      <c r="A715" s="108"/>
      <c r="B715" s="72" t="str">
        <f>IF(A715&lt;&gt;"",'EDC - PARAMETRAGE'!$A$3,"")</f>
        <v/>
      </c>
      <c r="C715" s="72" t="str">
        <f>IF(A715&lt;&gt;"",VLOOKUP(A715,'EDC - PRODUCTION'!$A$7:$E$49,5,FALSE),"")</f>
        <v/>
      </c>
      <c r="D715" s="72" t="str">
        <f>IF(A715&lt;&gt;"",VLOOKUP(A715,'EDC - PRODUCTION'!$A$7:$I$49,4,FALSE),"")</f>
        <v/>
      </c>
      <c r="E715" s="44"/>
      <c r="F715" s="45" t="str">
        <f t="shared" si="35"/>
        <v/>
      </c>
      <c r="G715" s="56" t="str">
        <f t="shared" si="36"/>
        <v/>
      </c>
      <c r="H715" s="73"/>
      <c r="I715" s="73"/>
      <c r="J715" s="112" t="str">
        <f t="shared" si="37"/>
        <v/>
      </c>
      <c r="K715" s="68"/>
    </row>
    <row r="716" spans="1:11" x14ac:dyDescent="0.2">
      <c r="A716" s="108"/>
      <c r="B716" s="72" t="str">
        <f>IF(A716&lt;&gt;"",'EDC - PARAMETRAGE'!$A$3,"")</f>
        <v/>
      </c>
      <c r="C716" s="72" t="str">
        <f>IF(A716&lt;&gt;"",VLOOKUP(A716,'EDC - PRODUCTION'!$A$7:$E$49,5,FALSE),"")</f>
        <v/>
      </c>
      <c r="D716" s="72" t="str">
        <f>IF(A716&lt;&gt;"",VLOOKUP(A716,'EDC - PRODUCTION'!$A$7:$I$49,4,FALSE),"")</f>
        <v/>
      </c>
      <c r="E716" s="44"/>
      <c r="F716" s="45" t="str">
        <f t="shared" si="35"/>
        <v/>
      </c>
      <c r="G716" s="56" t="str">
        <f t="shared" si="36"/>
        <v/>
      </c>
      <c r="H716" s="73"/>
      <c r="I716" s="73"/>
      <c r="J716" s="112" t="str">
        <f t="shared" si="37"/>
        <v/>
      </c>
      <c r="K716" s="68"/>
    </row>
    <row r="717" spans="1:11" x14ac:dyDescent="0.2">
      <c r="A717" s="108"/>
      <c r="B717" s="72" t="str">
        <f>IF(A717&lt;&gt;"",'EDC - PARAMETRAGE'!$A$3,"")</f>
        <v/>
      </c>
      <c r="C717" s="72" t="str">
        <f>IF(A717&lt;&gt;"",VLOOKUP(A717,'EDC - PRODUCTION'!$A$7:$E$49,5,FALSE),"")</f>
        <v/>
      </c>
      <c r="D717" s="72" t="str">
        <f>IF(A717&lt;&gt;"",VLOOKUP(A717,'EDC - PRODUCTION'!$A$7:$I$49,4,FALSE),"")</f>
        <v/>
      </c>
      <c r="E717" s="44"/>
      <c r="F717" s="45" t="str">
        <f t="shared" si="35"/>
        <v/>
      </c>
      <c r="G717" s="56" t="str">
        <f t="shared" si="36"/>
        <v/>
      </c>
      <c r="H717" s="73"/>
      <c r="I717" s="73"/>
      <c r="J717" s="112" t="str">
        <f t="shared" si="37"/>
        <v/>
      </c>
      <c r="K717" s="68"/>
    </row>
    <row r="718" spans="1:11" x14ac:dyDescent="0.2">
      <c r="A718" s="108"/>
      <c r="B718" s="72" t="str">
        <f>IF(A718&lt;&gt;"",'EDC - PARAMETRAGE'!$A$3,"")</f>
        <v/>
      </c>
      <c r="C718" s="72" t="str">
        <f>IF(A718&lt;&gt;"",VLOOKUP(A718,'EDC - PRODUCTION'!$A$7:$E$49,5,FALSE),"")</f>
        <v/>
      </c>
      <c r="D718" s="72" t="str">
        <f>IF(A718&lt;&gt;"",VLOOKUP(A718,'EDC - PRODUCTION'!$A$7:$I$49,4,FALSE),"")</f>
        <v/>
      </c>
      <c r="E718" s="44"/>
      <c r="F718" s="45" t="str">
        <f t="shared" si="35"/>
        <v/>
      </c>
      <c r="G718" s="56" t="str">
        <f t="shared" si="36"/>
        <v/>
      </c>
      <c r="H718" s="73"/>
      <c r="I718" s="73"/>
      <c r="J718" s="112" t="str">
        <f t="shared" si="37"/>
        <v/>
      </c>
      <c r="K718" s="68"/>
    </row>
    <row r="719" spans="1:11" x14ac:dyDescent="0.2">
      <c r="A719" s="108"/>
      <c r="B719" s="72" t="str">
        <f>IF(A719&lt;&gt;"",'EDC - PARAMETRAGE'!$A$3,"")</f>
        <v/>
      </c>
      <c r="C719" s="72" t="str">
        <f>IF(A719&lt;&gt;"",VLOOKUP(A719,'EDC - PRODUCTION'!$A$7:$E$49,5,FALSE),"")</f>
        <v/>
      </c>
      <c r="D719" s="72" t="str">
        <f>IF(A719&lt;&gt;"",VLOOKUP(A719,'EDC - PRODUCTION'!$A$7:$I$49,4,FALSE),"")</f>
        <v/>
      </c>
      <c r="E719" s="44"/>
      <c r="F719" s="45" t="str">
        <f t="shared" si="35"/>
        <v/>
      </c>
      <c r="G719" s="56" t="str">
        <f t="shared" si="36"/>
        <v/>
      </c>
      <c r="H719" s="73"/>
      <c r="I719" s="73"/>
      <c r="J719" s="112" t="str">
        <f t="shared" si="37"/>
        <v/>
      </c>
      <c r="K719" s="68"/>
    </row>
    <row r="720" spans="1:11" x14ac:dyDescent="0.2">
      <c r="A720" s="108"/>
      <c r="B720" s="72" t="str">
        <f>IF(A720&lt;&gt;"",'EDC - PARAMETRAGE'!$A$3,"")</f>
        <v/>
      </c>
      <c r="C720" s="72" t="str">
        <f>IF(A720&lt;&gt;"",VLOOKUP(A720,'EDC - PRODUCTION'!$A$7:$E$49,5,FALSE),"")</f>
        <v/>
      </c>
      <c r="D720" s="72" t="str">
        <f>IF(A720&lt;&gt;"",VLOOKUP(A720,'EDC - PRODUCTION'!$A$7:$I$49,4,FALSE),"")</f>
        <v/>
      </c>
      <c r="E720" s="44"/>
      <c r="F720" s="45" t="str">
        <f t="shared" si="35"/>
        <v/>
      </c>
      <c r="G720" s="56" t="str">
        <f t="shared" si="36"/>
        <v/>
      </c>
      <c r="H720" s="73"/>
      <c r="I720" s="73"/>
      <c r="J720" s="112" t="str">
        <f t="shared" si="37"/>
        <v/>
      </c>
      <c r="K720" s="68"/>
    </row>
    <row r="721" spans="1:11" x14ac:dyDescent="0.2">
      <c r="A721" s="108"/>
      <c r="B721" s="72" t="str">
        <f>IF(A721&lt;&gt;"",'EDC - PARAMETRAGE'!$A$3,"")</f>
        <v/>
      </c>
      <c r="C721" s="72" t="str">
        <f>IF(A721&lt;&gt;"",VLOOKUP(A721,'EDC - PRODUCTION'!$A$7:$E$49,5,FALSE),"")</f>
        <v/>
      </c>
      <c r="D721" s="72" t="str">
        <f>IF(A721&lt;&gt;"",VLOOKUP(A721,'EDC - PRODUCTION'!$A$7:$I$49,4,FALSE),"")</f>
        <v/>
      </c>
      <c r="E721" s="44"/>
      <c r="F721" s="45" t="str">
        <f t="shared" si="35"/>
        <v/>
      </c>
      <c r="G721" s="56" t="str">
        <f t="shared" si="36"/>
        <v/>
      </c>
      <c r="H721" s="73"/>
      <c r="I721" s="73"/>
      <c r="J721" s="112" t="str">
        <f t="shared" si="37"/>
        <v/>
      </c>
      <c r="K721" s="68"/>
    </row>
    <row r="722" spans="1:11" x14ac:dyDescent="0.2">
      <c r="A722" s="108"/>
      <c r="B722" s="72" t="str">
        <f>IF(A722&lt;&gt;"",'EDC - PARAMETRAGE'!$A$3,"")</f>
        <v/>
      </c>
      <c r="C722" s="72" t="str">
        <f>IF(A722&lt;&gt;"",VLOOKUP(A722,'EDC - PRODUCTION'!$A$7:$E$49,5,FALSE),"")</f>
        <v/>
      </c>
      <c r="D722" s="72" t="str">
        <f>IF(A722&lt;&gt;"",VLOOKUP(A722,'EDC - PRODUCTION'!$A$7:$I$49,4,FALSE),"")</f>
        <v/>
      </c>
      <c r="E722" s="44"/>
      <c r="F722" s="45" t="str">
        <f t="shared" si="35"/>
        <v/>
      </c>
      <c r="G722" s="56" t="str">
        <f t="shared" si="36"/>
        <v/>
      </c>
      <c r="H722" s="73"/>
      <c r="I722" s="73"/>
      <c r="J722" s="112" t="str">
        <f t="shared" si="37"/>
        <v/>
      </c>
      <c r="K722" s="68"/>
    </row>
    <row r="723" spans="1:11" x14ac:dyDescent="0.2">
      <c r="A723" s="108"/>
      <c r="B723" s="72" t="str">
        <f>IF(A723&lt;&gt;"",'EDC - PARAMETRAGE'!$A$3,"")</f>
        <v/>
      </c>
      <c r="C723" s="72" t="str">
        <f>IF(A723&lt;&gt;"",VLOOKUP(A723,'EDC - PRODUCTION'!$A$7:$E$49,5,FALSE),"")</f>
        <v/>
      </c>
      <c r="D723" s="72" t="str">
        <f>IF(A723&lt;&gt;"",VLOOKUP(A723,'EDC - PRODUCTION'!$A$7:$I$49,4,FALSE),"")</f>
        <v/>
      </c>
      <c r="E723" s="44"/>
      <c r="F723" s="45" t="str">
        <f t="shared" si="35"/>
        <v/>
      </c>
      <c r="G723" s="56" t="str">
        <f t="shared" si="36"/>
        <v/>
      </c>
      <c r="H723" s="73"/>
      <c r="I723" s="73"/>
      <c r="J723" s="112" t="str">
        <f t="shared" si="37"/>
        <v/>
      </c>
      <c r="K723" s="68"/>
    </row>
    <row r="724" spans="1:11" x14ac:dyDescent="0.2">
      <c r="A724" s="108"/>
      <c r="B724" s="72" t="str">
        <f>IF(A724&lt;&gt;"",'EDC - PARAMETRAGE'!$A$3,"")</f>
        <v/>
      </c>
      <c r="C724" s="72" t="str">
        <f>IF(A724&lt;&gt;"",VLOOKUP(A724,'EDC - PRODUCTION'!$A$7:$E$49,5,FALSE),"")</f>
        <v/>
      </c>
      <c r="D724" s="72" t="str">
        <f>IF(A724&lt;&gt;"",VLOOKUP(A724,'EDC - PRODUCTION'!$A$7:$I$49,4,FALSE),"")</f>
        <v/>
      </c>
      <c r="E724" s="44"/>
      <c r="F724" s="45" t="str">
        <f t="shared" si="35"/>
        <v/>
      </c>
      <c r="G724" s="56" t="str">
        <f t="shared" si="36"/>
        <v/>
      </c>
      <c r="H724" s="73"/>
      <c r="I724" s="73"/>
      <c r="J724" s="112" t="str">
        <f t="shared" si="37"/>
        <v/>
      </c>
      <c r="K724" s="68"/>
    </row>
    <row r="725" spans="1:11" x14ac:dyDescent="0.2">
      <c r="A725" s="108"/>
      <c r="B725" s="72" t="str">
        <f>IF(A725&lt;&gt;"",'EDC - PARAMETRAGE'!$A$3,"")</f>
        <v/>
      </c>
      <c r="C725" s="72" t="str">
        <f>IF(A725&lt;&gt;"",VLOOKUP(A725,'EDC - PRODUCTION'!$A$7:$E$49,5,FALSE),"")</f>
        <v/>
      </c>
      <c r="D725" s="72" t="str">
        <f>IF(A725&lt;&gt;"",VLOOKUP(A725,'EDC - PRODUCTION'!$A$7:$I$49,4,FALSE),"")</f>
        <v/>
      </c>
      <c r="E725" s="44"/>
      <c r="F725" s="45" t="str">
        <f t="shared" si="35"/>
        <v/>
      </c>
      <c r="G725" s="56" t="str">
        <f t="shared" si="36"/>
        <v/>
      </c>
      <c r="H725" s="73"/>
      <c r="I725" s="73"/>
      <c r="J725" s="112" t="str">
        <f t="shared" si="37"/>
        <v/>
      </c>
      <c r="K725" s="68"/>
    </row>
    <row r="726" spans="1:11" x14ac:dyDescent="0.2">
      <c r="A726" s="108"/>
      <c r="B726" s="72" t="str">
        <f>IF(A726&lt;&gt;"",'EDC - PARAMETRAGE'!$A$3,"")</f>
        <v/>
      </c>
      <c r="C726" s="72" t="str">
        <f>IF(A726&lt;&gt;"",VLOOKUP(A726,'EDC - PRODUCTION'!$A$7:$E$49,5,FALSE),"")</f>
        <v/>
      </c>
      <c r="D726" s="72" t="str">
        <f>IF(A726&lt;&gt;"",VLOOKUP(A726,'EDC - PRODUCTION'!$A$7:$I$49,4,FALSE),"")</f>
        <v/>
      </c>
      <c r="E726" s="44"/>
      <c r="F726" s="45" t="str">
        <f t="shared" si="35"/>
        <v/>
      </c>
      <c r="G726" s="56" t="str">
        <f t="shared" si="36"/>
        <v/>
      </c>
      <c r="H726" s="73"/>
      <c r="I726" s="73"/>
      <c r="J726" s="112" t="str">
        <f t="shared" si="37"/>
        <v/>
      </c>
      <c r="K726" s="68"/>
    </row>
    <row r="727" spans="1:11" x14ac:dyDescent="0.2">
      <c r="A727" s="108"/>
      <c r="B727" s="72" t="str">
        <f>IF(A727&lt;&gt;"",'EDC - PARAMETRAGE'!$A$3,"")</f>
        <v/>
      </c>
      <c r="C727" s="72" t="str">
        <f>IF(A727&lt;&gt;"",VLOOKUP(A727,'EDC - PRODUCTION'!$A$7:$E$49,5,FALSE),"")</f>
        <v/>
      </c>
      <c r="D727" s="72" t="str">
        <f>IF(A727&lt;&gt;"",VLOOKUP(A727,'EDC - PRODUCTION'!$A$7:$I$49,4,FALSE),"")</f>
        <v/>
      </c>
      <c r="E727" s="44"/>
      <c r="F727" s="45" t="str">
        <f t="shared" si="35"/>
        <v/>
      </c>
      <c r="G727" s="56" t="str">
        <f t="shared" si="36"/>
        <v/>
      </c>
      <c r="H727" s="73"/>
      <c r="I727" s="73"/>
      <c r="J727" s="112" t="str">
        <f t="shared" si="37"/>
        <v/>
      </c>
      <c r="K727" s="68"/>
    </row>
    <row r="728" spans="1:11" x14ac:dyDescent="0.2">
      <c r="A728" s="108"/>
      <c r="B728" s="72" t="str">
        <f>IF(A728&lt;&gt;"",'EDC - PARAMETRAGE'!$A$3,"")</f>
        <v/>
      </c>
      <c r="C728" s="72" t="str">
        <f>IF(A728&lt;&gt;"",VLOOKUP(A728,'EDC - PRODUCTION'!$A$7:$E$49,5,FALSE),"")</f>
        <v/>
      </c>
      <c r="D728" s="72" t="str">
        <f>IF(A728&lt;&gt;"",VLOOKUP(A728,'EDC - PRODUCTION'!$A$7:$I$49,4,FALSE),"")</f>
        <v/>
      </c>
      <c r="E728" s="44"/>
      <c r="F728" s="45" t="str">
        <f t="shared" si="35"/>
        <v/>
      </c>
      <c r="G728" s="56" t="str">
        <f t="shared" si="36"/>
        <v/>
      </c>
      <c r="H728" s="73"/>
      <c r="I728" s="73"/>
      <c r="J728" s="112" t="str">
        <f t="shared" si="37"/>
        <v/>
      </c>
      <c r="K728" s="68"/>
    </row>
    <row r="729" spans="1:11" x14ac:dyDescent="0.2">
      <c r="A729" s="108"/>
      <c r="B729" s="72" t="str">
        <f>IF(A729&lt;&gt;"",'EDC - PARAMETRAGE'!$A$3,"")</f>
        <v/>
      </c>
      <c r="C729" s="72" t="str">
        <f>IF(A729&lt;&gt;"",VLOOKUP(A729,'EDC - PRODUCTION'!$A$7:$E$49,5,FALSE),"")</f>
        <v/>
      </c>
      <c r="D729" s="72" t="str">
        <f>IF(A729&lt;&gt;"",VLOOKUP(A729,'EDC - PRODUCTION'!$A$7:$I$49,4,FALSE),"")</f>
        <v/>
      </c>
      <c r="E729" s="44"/>
      <c r="F729" s="45" t="str">
        <f t="shared" si="35"/>
        <v/>
      </c>
      <c r="G729" s="56" t="str">
        <f t="shared" si="36"/>
        <v/>
      </c>
      <c r="H729" s="73"/>
      <c r="I729" s="73"/>
      <c r="J729" s="112" t="str">
        <f t="shared" si="37"/>
        <v/>
      </c>
      <c r="K729" s="68"/>
    </row>
    <row r="730" spans="1:11" x14ac:dyDescent="0.2">
      <c r="A730" s="108"/>
      <c r="B730" s="72" t="str">
        <f>IF(A730&lt;&gt;"",'EDC - PARAMETRAGE'!$A$3,"")</f>
        <v/>
      </c>
      <c r="C730" s="72" t="str">
        <f>IF(A730&lt;&gt;"",VLOOKUP(A730,'EDC - PRODUCTION'!$A$7:$E$49,5,FALSE),"")</f>
        <v/>
      </c>
      <c r="D730" s="72" t="str">
        <f>IF(A730&lt;&gt;"",VLOOKUP(A730,'EDC - PRODUCTION'!$A$7:$I$49,4,FALSE),"")</f>
        <v/>
      </c>
      <c r="E730" s="44"/>
      <c r="F730" s="45" t="str">
        <f t="shared" si="35"/>
        <v/>
      </c>
      <c r="G730" s="56" t="str">
        <f t="shared" si="36"/>
        <v/>
      </c>
      <c r="H730" s="73"/>
      <c r="I730" s="73"/>
      <c r="J730" s="112" t="str">
        <f t="shared" si="37"/>
        <v/>
      </c>
      <c r="K730" s="68"/>
    </row>
    <row r="731" spans="1:11" x14ac:dyDescent="0.2">
      <c r="A731" s="108"/>
      <c r="B731" s="72" t="str">
        <f>IF(A731&lt;&gt;"",'EDC - PARAMETRAGE'!$A$3,"")</f>
        <v/>
      </c>
      <c r="C731" s="72" t="str">
        <f>IF(A731&lt;&gt;"",VLOOKUP(A731,'EDC - PRODUCTION'!$A$7:$E$49,5,FALSE),"")</f>
        <v/>
      </c>
      <c r="D731" s="72" t="str">
        <f>IF(A731&lt;&gt;"",VLOOKUP(A731,'EDC - PRODUCTION'!$A$7:$I$49,4,FALSE),"")</f>
        <v/>
      </c>
      <c r="E731" s="44"/>
      <c r="F731" s="45" t="str">
        <f t="shared" si="35"/>
        <v/>
      </c>
      <c r="G731" s="56" t="str">
        <f t="shared" si="36"/>
        <v/>
      </c>
      <c r="H731" s="73"/>
      <c r="I731" s="73"/>
      <c r="J731" s="112" t="str">
        <f t="shared" si="37"/>
        <v/>
      </c>
      <c r="K731" s="68"/>
    </row>
    <row r="732" spans="1:11" x14ac:dyDescent="0.2">
      <c r="A732" s="108"/>
      <c r="B732" s="72" t="str">
        <f>IF(A732&lt;&gt;"",'EDC - PARAMETRAGE'!$A$3,"")</f>
        <v/>
      </c>
      <c r="C732" s="72" t="str">
        <f>IF(A732&lt;&gt;"",VLOOKUP(A732,'EDC - PRODUCTION'!$A$7:$E$49,5,FALSE),"")</f>
        <v/>
      </c>
      <c r="D732" s="72" t="str">
        <f>IF(A732&lt;&gt;"",VLOOKUP(A732,'EDC - PRODUCTION'!$A$7:$I$49,4,FALSE),"")</f>
        <v/>
      </c>
      <c r="E732" s="44"/>
      <c r="F732" s="45" t="str">
        <f t="shared" si="35"/>
        <v/>
      </c>
      <c r="G732" s="56" t="str">
        <f t="shared" si="36"/>
        <v/>
      </c>
      <c r="H732" s="73"/>
      <c r="I732" s="73"/>
      <c r="J732" s="112" t="str">
        <f t="shared" si="37"/>
        <v/>
      </c>
      <c r="K732" s="68"/>
    </row>
    <row r="733" spans="1:11" x14ac:dyDescent="0.2">
      <c r="A733" s="108"/>
      <c r="B733" s="72" t="str">
        <f>IF(A733&lt;&gt;"",'EDC - PARAMETRAGE'!$A$3,"")</f>
        <v/>
      </c>
      <c r="C733" s="72" t="str">
        <f>IF(A733&lt;&gt;"",VLOOKUP(A733,'EDC - PRODUCTION'!$A$7:$E$49,5,FALSE),"")</f>
        <v/>
      </c>
      <c r="D733" s="72" t="str">
        <f>IF(A733&lt;&gt;"",VLOOKUP(A733,'EDC - PRODUCTION'!$A$7:$I$49,4,FALSE),"")</f>
        <v/>
      </c>
      <c r="E733" s="44"/>
      <c r="F733" s="45" t="str">
        <f t="shared" si="35"/>
        <v/>
      </c>
      <c r="G733" s="56" t="str">
        <f t="shared" si="36"/>
        <v/>
      </c>
      <c r="H733" s="73"/>
      <c r="I733" s="73"/>
      <c r="J733" s="112" t="str">
        <f t="shared" si="37"/>
        <v/>
      </c>
      <c r="K733" s="68"/>
    </row>
    <row r="734" spans="1:11" x14ac:dyDescent="0.2">
      <c r="A734" s="108"/>
      <c r="B734" s="72" t="str">
        <f>IF(A734&lt;&gt;"",'EDC - PARAMETRAGE'!$A$3,"")</f>
        <v/>
      </c>
      <c r="C734" s="72" t="str">
        <f>IF(A734&lt;&gt;"",VLOOKUP(A734,'EDC - PRODUCTION'!$A$7:$E$49,5,FALSE),"")</f>
        <v/>
      </c>
      <c r="D734" s="72" t="str">
        <f>IF(A734&lt;&gt;"",VLOOKUP(A734,'EDC - PRODUCTION'!$A$7:$I$49,4,FALSE),"")</f>
        <v/>
      </c>
      <c r="E734" s="44"/>
      <c r="F734" s="45" t="str">
        <f t="shared" si="35"/>
        <v/>
      </c>
      <c r="G734" s="56" t="str">
        <f t="shared" si="36"/>
        <v/>
      </c>
      <c r="H734" s="73"/>
      <c r="I734" s="73"/>
      <c r="J734" s="112" t="str">
        <f t="shared" si="37"/>
        <v/>
      </c>
      <c r="K734" s="68"/>
    </row>
    <row r="735" spans="1:11" x14ac:dyDescent="0.2">
      <c r="A735" s="108"/>
      <c r="B735" s="72" t="str">
        <f>IF(A735&lt;&gt;"",'EDC - PARAMETRAGE'!$A$3,"")</f>
        <v/>
      </c>
      <c r="C735" s="72" t="str">
        <f>IF(A735&lt;&gt;"",VLOOKUP(A735,'EDC - PRODUCTION'!$A$7:$E$49,5,FALSE),"")</f>
        <v/>
      </c>
      <c r="D735" s="72" t="str">
        <f>IF(A735&lt;&gt;"",VLOOKUP(A735,'EDC - PRODUCTION'!$A$7:$I$49,4,FALSE),"")</f>
        <v/>
      </c>
      <c r="E735" s="44"/>
      <c r="F735" s="45" t="str">
        <f t="shared" si="35"/>
        <v/>
      </c>
      <c r="G735" s="56" t="str">
        <f t="shared" si="36"/>
        <v/>
      </c>
      <c r="H735" s="73"/>
      <c r="I735" s="73"/>
      <c r="J735" s="112" t="str">
        <f t="shared" si="37"/>
        <v/>
      </c>
      <c r="K735" s="68"/>
    </row>
    <row r="736" spans="1:11" x14ac:dyDescent="0.2">
      <c r="A736" s="108"/>
      <c r="B736" s="72" t="str">
        <f>IF(A736&lt;&gt;"",'EDC - PARAMETRAGE'!$A$3,"")</f>
        <v/>
      </c>
      <c r="C736" s="72" t="str">
        <f>IF(A736&lt;&gt;"",VLOOKUP(A736,'EDC - PRODUCTION'!$A$7:$E$49,5,FALSE),"")</f>
        <v/>
      </c>
      <c r="D736" s="72" t="str">
        <f>IF(A736&lt;&gt;"",VLOOKUP(A736,'EDC - PRODUCTION'!$A$7:$I$49,4,FALSE),"")</f>
        <v/>
      </c>
      <c r="E736" s="44"/>
      <c r="F736" s="45" t="str">
        <f t="shared" si="35"/>
        <v/>
      </c>
      <c r="G736" s="56" t="str">
        <f t="shared" si="36"/>
        <v/>
      </c>
      <c r="H736" s="73"/>
      <c r="I736" s="73"/>
      <c r="J736" s="112" t="str">
        <f t="shared" si="37"/>
        <v/>
      </c>
      <c r="K736" s="68"/>
    </row>
    <row r="737" spans="1:11" x14ac:dyDescent="0.2">
      <c r="A737" s="108"/>
      <c r="B737" s="72" t="str">
        <f>IF(A737&lt;&gt;"",'EDC - PARAMETRAGE'!$A$3,"")</f>
        <v/>
      </c>
      <c r="C737" s="72" t="str">
        <f>IF(A737&lt;&gt;"",VLOOKUP(A737,'EDC - PRODUCTION'!$A$7:$E$49,5,FALSE),"")</f>
        <v/>
      </c>
      <c r="D737" s="72" t="str">
        <f>IF(A737&lt;&gt;"",VLOOKUP(A737,'EDC - PRODUCTION'!$A$7:$I$49,4,FALSE),"")</f>
        <v/>
      </c>
      <c r="E737" s="44"/>
      <c r="F737" s="45" t="str">
        <f t="shared" si="35"/>
        <v/>
      </c>
      <c r="G737" s="56" t="str">
        <f t="shared" si="36"/>
        <v/>
      </c>
      <c r="H737" s="73"/>
      <c r="I737" s="73"/>
      <c r="J737" s="112" t="str">
        <f t="shared" si="37"/>
        <v/>
      </c>
      <c r="K737" s="68"/>
    </row>
    <row r="738" spans="1:11" x14ac:dyDescent="0.2">
      <c r="A738" s="108"/>
      <c r="B738" s="72" t="str">
        <f>IF(A738&lt;&gt;"",'EDC - PARAMETRAGE'!$A$3,"")</f>
        <v/>
      </c>
      <c r="C738" s="72" t="str">
        <f>IF(A738&lt;&gt;"",VLOOKUP(A738,'EDC - PRODUCTION'!$A$7:$E$49,5,FALSE),"")</f>
        <v/>
      </c>
      <c r="D738" s="72" t="str">
        <f>IF(A738&lt;&gt;"",VLOOKUP(A738,'EDC - PRODUCTION'!$A$7:$I$49,4,FALSE),"")</f>
        <v/>
      </c>
      <c r="E738" s="44"/>
      <c r="F738" s="45" t="str">
        <f t="shared" si="35"/>
        <v/>
      </c>
      <c r="G738" s="56" t="str">
        <f t="shared" si="36"/>
        <v/>
      </c>
      <c r="H738" s="73"/>
      <c r="I738" s="73"/>
      <c r="J738" s="112" t="str">
        <f t="shared" si="37"/>
        <v/>
      </c>
      <c r="K738" s="68"/>
    </row>
    <row r="739" spans="1:11" x14ac:dyDescent="0.2">
      <c r="A739" s="108"/>
      <c r="B739" s="72" t="str">
        <f>IF(A739&lt;&gt;"",'EDC - PARAMETRAGE'!$A$3,"")</f>
        <v/>
      </c>
      <c r="C739" s="72" t="str">
        <f>IF(A739&lt;&gt;"",VLOOKUP(A739,'EDC - PRODUCTION'!$A$7:$E$49,5,FALSE),"")</f>
        <v/>
      </c>
      <c r="D739" s="72" t="str">
        <f>IF(A739&lt;&gt;"",VLOOKUP(A739,'EDC - PRODUCTION'!$A$7:$I$49,4,FALSE),"")</f>
        <v/>
      </c>
      <c r="E739" s="44"/>
      <c r="F739" s="45" t="str">
        <f t="shared" si="35"/>
        <v/>
      </c>
      <c r="G739" s="56" t="str">
        <f t="shared" si="36"/>
        <v/>
      </c>
      <c r="H739" s="73"/>
      <c r="I739" s="73"/>
      <c r="J739" s="112" t="str">
        <f t="shared" si="37"/>
        <v/>
      </c>
      <c r="K739" s="68"/>
    </row>
    <row r="740" spans="1:11" x14ac:dyDescent="0.2">
      <c r="A740" s="108"/>
      <c r="B740" s="72" t="str">
        <f>IF(A740&lt;&gt;"",'EDC - PARAMETRAGE'!$A$3,"")</f>
        <v/>
      </c>
      <c r="C740" s="72" t="str">
        <f>IF(A740&lt;&gt;"",VLOOKUP(A740,'EDC - PRODUCTION'!$A$7:$E$49,5,FALSE),"")</f>
        <v/>
      </c>
      <c r="D740" s="72" t="str">
        <f>IF(A740&lt;&gt;"",VLOOKUP(A740,'EDC - PRODUCTION'!$A$7:$I$49,4,FALSE),"")</f>
        <v/>
      </c>
      <c r="E740" s="44"/>
      <c r="F740" s="45" t="str">
        <f t="shared" si="35"/>
        <v/>
      </c>
      <c r="G740" s="56" t="str">
        <f t="shared" si="36"/>
        <v/>
      </c>
      <c r="H740" s="73"/>
      <c r="I740" s="73"/>
      <c r="J740" s="112" t="str">
        <f t="shared" si="37"/>
        <v/>
      </c>
      <c r="K740" s="68"/>
    </row>
    <row r="741" spans="1:11" x14ac:dyDescent="0.2">
      <c r="A741" s="108"/>
      <c r="B741" s="72" t="str">
        <f>IF(A741&lt;&gt;"",'EDC - PARAMETRAGE'!$A$3,"")</f>
        <v/>
      </c>
      <c r="C741" s="72" t="str">
        <f>IF(A741&lt;&gt;"",VLOOKUP(A741,'EDC - PRODUCTION'!$A$7:$E$49,5,FALSE),"")</f>
        <v/>
      </c>
      <c r="D741" s="72" t="str">
        <f>IF(A741&lt;&gt;"",VLOOKUP(A741,'EDC - PRODUCTION'!$A$7:$I$49,4,FALSE),"")</f>
        <v/>
      </c>
      <c r="E741" s="44"/>
      <c r="F741" s="45" t="str">
        <f t="shared" si="35"/>
        <v/>
      </c>
      <c r="G741" s="56" t="str">
        <f t="shared" si="36"/>
        <v/>
      </c>
      <c r="H741" s="73"/>
      <c r="I741" s="73"/>
      <c r="J741" s="112" t="str">
        <f t="shared" si="37"/>
        <v/>
      </c>
      <c r="K741" s="68"/>
    </row>
    <row r="742" spans="1:11" x14ac:dyDescent="0.2">
      <c r="A742" s="108"/>
      <c r="B742" s="72" t="str">
        <f>IF(A742&lt;&gt;"",'EDC - PARAMETRAGE'!$A$3,"")</f>
        <v/>
      </c>
      <c r="C742" s="72" t="str">
        <f>IF(A742&lt;&gt;"",VLOOKUP(A742,'EDC - PRODUCTION'!$A$7:$E$49,5,FALSE),"")</f>
        <v/>
      </c>
      <c r="D742" s="72" t="str">
        <f>IF(A742&lt;&gt;"",VLOOKUP(A742,'EDC - PRODUCTION'!$A$7:$I$49,4,FALSE),"")</f>
        <v/>
      </c>
      <c r="E742" s="44"/>
      <c r="F742" s="45" t="str">
        <f t="shared" si="35"/>
        <v/>
      </c>
      <c r="G742" s="56" t="str">
        <f t="shared" si="36"/>
        <v/>
      </c>
      <c r="H742" s="73"/>
      <c r="I742" s="73"/>
      <c r="J742" s="112" t="str">
        <f t="shared" si="37"/>
        <v/>
      </c>
      <c r="K742" s="68"/>
    </row>
    <row r="743" spans="1:11" x14ac:dyDescent="0.2">
      <c r="A743" s="108"/>
      <c r="B743" s="72" t="str">
        <f>IF(A743&lt;&gt;"",'EDC - PARAMETRAGE'!$A$3,"")</f>
        <v/>
      </c>
      <c r="C743" s="72" t="str">
        <f>IF(A743&lt;&gt;"",VLOOKUP(A743,'EDC - PRODUCTION'!$A$7:$E$49,5,FALSE),"")</f>
        <v/>
      </c>
      <c r="D743" s="72" t="str">
        <f>IF(A743&lt;&gt;"",VLOOKUP(A743,'EDC - PRODUCTION'!$A$7:$I$49,4,FALSE),"")</f>
        <v/>
      </c>
      <c r="E743" s="44"/>
      <c r="F743" s="45" t="str">
        <f t="shared" si="35"/>
        <v/>
      </c>
      <c r="G743" s="56" t="str">
        <f t="shared" si="36"/>
        <v/>
      </c>
      <c r="H743" s="73"/>
      <c r="I743" s="73"/>
      <c r="J743" s="112" t="str">
        <f t="shared" si="37"/>
        <v/>
      </c>
      <c r="K743" s="68"/>
    </row>
    <row r="744" spans="1:11" x14ac:dyDescent="0.2">
      <c r="A744" s="108"/>
      <c r="B744" s="72" t="str">
        <f>IF(A744&lt;&gt;"",'EDC - PARAMETRAGE'!$A$3,"")</f>
        <v/>
      </c>
      <c r="C744" s="72" t="str">
        <f>IF(A744&lt;&gt;"",VLOOKUP(A744,'EDC - PRODUCTION'!$A$7:$E$49,5,FALSE),"")</f>
        <v/>
      </c>
      <c r="D744" s="72" t="str">
        <f>IF(A744&lt;&gt;"",VLOOKUP(A744,'EDC - PRODUCTION'!$A$7:$I$49,4,FALSE),"")</f>
        <v/>
      </c>
      <c r="E744" s="44"/>
      <c r="F744" s="45" t="str">
        <f t="shared" si="35"/>
        <v/>
      </c>
      <c r="G744" s="56" t="str">
        <f t="shared" si="36"/>
        <v/>
      </c>
      <c r="H744" s="73"/>
      <c r="I744" s="73"/>
      <c r="J744" s="112" t="str">
        <f t="shared" si="37"/>
        <v/>
      </c>
      <c r="K744" s="68"/>
    </row>
    <row r="745" spans="1:11" x14ac:dyDescent="0.2">
      <c r="A745" s="108"/>
      <c r="B745" s="72" t="str">
        <f>IF(A745&lt;&gt;"",'EDC - PARAMETRAGE'!$A$3,"")</f>
        <v/>
      </c>
      <c r="C745" s="72" t="str">
        <f>IF(A745&lt;&gt;"",VLOOKUP(A745,'EDC - PRODUCTION'!$A$7:$E$49,5,FALSE),"")</f>
        <v/>
      </c>
      <c r="D745" s="72" t="str">
        <f>IF(A745&lt;&gt;"",VLOOKUP(A745,'EDC - PRODUCTION'!$A$7:$I$49,4,FALSE),"")</f>
        <v/>
      </c>
      <c r="E745" s="44"/>
      <c r="F745" s="45" t="str">
        <f t="shared" si="35"/>
        <v/>
      </c>
      <c r="G745" s="56" t="str">
        <f t="shared" si="36"/>
        <v/>
      </c>
      <c r="H745" s="73"/>
      <c r="I745" s="73"/>
      <c r="J745" s="112" t="str">
        <f t="shared" si="37"/>
        <v/>
      </c>
      <c r="K745" s="68"/>
    </row>
    <row r="746" spans="1:11" x14ac:dyDescent="0.2">
      <c r="A746" s="108"/>
      <c r="B746" s="72" t="str">
        <f>IF(A746&lt;&gt;"",'EDC - PARAMETRAGE'!$A$3,"")</f>
        <v/>
      </c>
      <c r="C746" s="72" t="str">
        <f>IF(A746&lt;&gt;"",VLOOKUP(A746,'EDC - PRODUCTION'!$A$7:$E$49,5,FALSE),"")</f>
        <v/>
      </c>
      <c r="D746" s="72" t="str">
        <f>IF(A746&lt;&gt;"",VLOOKUP(A746,'EDC - PRODUCTION'!$A$7:$I$49,4,FALSE),"")</f>
        <v/>
      </c>
      <c r="E746" s="44"/>
      <c r="F746" s="45" t="str">
        <f t="shared" si="35"/>
        <v/>
      </c>
      <c r="G746" s="56" t="str">
        <f t="shared" si="36"/>
        <v/>
      </c>
      <c r="H746" s="73"/>
      <c r="I746" s="73"/>
      <c r="J746" s="112" t="str">
        <f t="shared" si="37"/>
        <v/>
      </c>
      <c r="K746" s="68"/>
    </row>
    <row r="747" spans="1:11" x14ac:dyDescent="0.2">
      <c r="A747" s="108"/>
      <c r="B747" s="72" t="str">
        <f>IF(A747&lt;&gt;"",'EDC - PARAMETRAGE'!$A$3,"")</f>
        <v/>
      </c>
      <c r="C747" s="72" t="str">
        <f>IF(A747&lt;&gt;"",VLOOKUP(A747,'EDC - PRODUCTION'!$A$7:$E$49,5,FALSE),"")</f>
        <v/>
      </c>
      <c r="D747" s="72" t="str">
        <f>IF(A747&lt;&gt;"",VLOOKUP(A747,'EDC - PRODUCTION'!$A$7:$I$49,4,FALSE),"")</f>
        <v/>
      </c>
      <c r="E747" s="44"/>
      <c r="F747" s="45" t="str">
        <f t="shared" si="35"/>
        <v/>
      </c>
      <c r="G747" s="56" t="str">
        <f t="shared" si="36"/>
        <v/>
      </c>
      <c r="H747" s="73"/>
      <c r="I747" s="73"/>
      <c r="J747" s="112" t="str">
        <f t="shared" si="37"/>
        <v/>
      </c>
      <c r="K747" s="68"/>
    </row>
    <row r="748" spans="1:11" x14ac:dyDescent="0.2">
      <c r="A748" s="108"/>
      <c r="B748" s="72" t="str">
        <f>IF(A748&lt;&gt;"",'EDC - PARAMETRAGE'!$A$3,"")</f>
        <v/>
      </c>
      <c r="C748" s="72" t="str">
        <f>IF(A748&lt;&gt;"",VLOOKUP(A748,'EDC - PRODUCTION'!$A$7:$E$49,5,FALSE),"")</f>
        <v/>
      </c>
      <c r="D748" s="72" t="str">
        <f>IF(A748&lt;&gt;"",VLOOKUP(A748,'EDC - PRODUCTION'!$A$7:$I$49,4,FALSE),"")</f>
        <v/>
      </c>
      <c r="E748" s="44"/>
      <c r="F748" s="45" t="str">
        <f t="shared" si="35"/>
        <v/>
      </c>
      <c r="G748" s="56" t="str">
        <f t="shared" si="36"/>
        <v/>
      </c>
      <c r="H748" s="73"/>
      <c r="I748" s="73"/>
      <c r="J748" s="112" t="str">
        <f t="shared" si="37"/>
        <v/>
      </c>
      <c r="K748" s="68"/>
    </row>
    <row r="749" spans="1:11" x14ac:dyDescent="0.2">
      <c r="A749" s="108"/>
      <c r="B749" s="72" t="str">
        <f>IF(A749&lt;&gt;"",'EDC - PARAMETRAGE'!$A$3,"")</f>
        <v/>
      </c>
      <c r="C749" s="72" t="str">
        <f>IF(A749&lt;&gt;"",VLOOKUP(A749,'EDC - PRODUCTION'!$A$7:$E$49,5,FALSE),"")</f>
        <v/>
      </c>
      <c r="D749" s="72" t="str">
        <f>IF(A749&lt;&gt;"",VLOOKUP(A749,'EDC - PRODUCTION'!$A$7:$I$49,4,FALSE),"")</f>
        <v/>
      </c>
      <c r="E749" s="44"/>
      <c r="F749" s="45" t="str">
        <f t="shared" si="35"/>
        <v/>
      </c>
      <c r="G749" s="56" t="str">
        <f t="shared" si="36"/>
        <v/>
      </c>
      <c r="H749" s="73"/>
      <c r="I749" s="73"/>
      <c r="J749" s="112" t="str">
        <f t="shared" si="37"/>
        <v/>
      </c>
      <c r="K749" s="68"/>
    </row>
    <row r="750" spans="1:11" x14ac:dyDescent="0.2">
      <c r="A750" s="108"/>
      <c r="B750" s="72" t="str">
        <f>IF(A750&lt;&gt;"",'EDC - PARAMETRAGE'!$A$3,"")</f>
        <v/>
      </c>
      <c r="C750" s="72" t="str">
        <f>IF(A750&lt;&gt;"",VLOOKUP(A750,'EDC - PRODUCTION'!$A$7:$E$49,5,FALSE),"")</f>
        <v/>
      </c>
      <c r="D750" s="72" t="str">
        <f>IF(A750&lt;&gt;"",VLOOKUP(A750,'EDC - PRODUCTION'!$A$7:$I$49,4,FALSE),"")</f>
        <v/>
      </c>
      <c r="E750" s="44"/>
      <c r="F750" s="45" t="str">
        <f t="shared" si="35"/>
        <v/>
      </c>
      <c r="G750" s="56" t="str">
        <f t="shared" si="36"/>
        <v/>
      </c>
      <c r="H750" s="73"/>
      <c r="I750" s="73"/>
      <c r="J750" s="112" t="str">
        <f t="shared" si="37"/>
        <v/>
      </c>
      <c r="K750" s="68"/>
    </row>
    <row r="751" spans="1:11" x14ac:dyDescent="0.2">
      <c r="A751" s="108"/>
      <c r="B751" s="72" t="str">
        <f>IF(A751&lt;&gt;"",'EDC - PARAMETRAGE'!$A$3,"")</f>
        <v/>
      </c>
      <c r="C751" s="72" t="str">
        <f>IF(A751&lt;&gt;"",VLOOKUP(A751,'EDC - PRODUCTION'!$A$7:$E$49,5,FALSE),"")</f>
        <v/>
      </c>
      <c r="D751" s="72" t="str">
        <f>IF(A751&lt;&gt;"",VLOOKUP(A751,'EDC - PRODUCTION'!$A$7:$I$49,4,FALSE),"")</f>
        <v/>
      </c>
      <c r="E751" s="44"/>
      <c r="F751" s="45" t="str">
        <f t="shared" si="35"/>
        <v/>
      </c>
      <c r="G751" s="56" t="str">
        <f t="shared" si="36"/>
        <v/>
      </c>
      <c r="H751" s="73"/>
      <c r="I751" s="73"/>
      <c r="J751" s="112" t="str">
        <f t="shared" si="37"/>
        <v/>
      </c>
      <c r="K751" s="68"/>
    </row>
    <row r="752" spans="1:11" x14ac:dyDescent="0.2">
      <c r="A752" s="108"/>
      <c r="B752" s="72" t="str">
        <f>IF(A752&lt;&gt;"",'EDC - PARAMETRAGE'!$A$3,"")</f>
        <v/>
      </c>
      <c r="C752" s="72" t="str">
        <f>IF(A752&lt;&gt;"",VLOOKUP(A752,'EDC - PRODUCTION'!$A$7:$E$49,5,FALSE),"")</f>
        <v/>
      </c>
      <c r="D752" s="72" t="str">
        <f>IF(A752&lt;&gt;"",VLOOKUP(A752,'EDC - PRODUCTION'!$A$7:$I$49,4,FALSE),"")</f>
        <v/>
      </c>
      <c r="E752" s="44"/>
      <c r="F752" s="45" t="str">
        <f t="shared" si="35"/>
        <v/>
      </c>
      <c r="G752" s="56" t="str">
        <f t="shared" si="36"/>
        <v/>
      </c>
      <c r="H752" s="73"/>
      <c r="I752" s="73"/>
      <c r="J752" s="112" t="str">
        <f t="shared" si="37"/>
        <v/>
      </c>
      <c r="K752" s="68"/>
    </row>
    <row r="753" spans="1:11" x14ac:dyDescent="0.2">
      <c r="A753" s="108"/>
      <c r="B753" s="72" t="str">
        <f>IF(A753&lt;&gt;"",'EDC - PARAMETRAGE'!$A$3,"")</f>
        <v/>
      </c>
      <c r="C753" s="72" t="str">
        <f>IF(A753&lt;&gt;"",VLOOKUP(A753,'EDC - PRODUCTION'!$A$7:$E$49,5,FALSE),"")</f>
        <v/>
      </c>
      <c r="D753" s="72" t="str">
        <f>IF(A753&lt;&gt;"",VLOOKUP(A753,'EDC - PRODUCTION'!$A$7:$I$49,4,FALSE),"")</f>
        <v/>
      </c>
      <c r="E753" s="44"/>
      <c r="F753" s="45" t="str">
        <f t="shared" si="35"/>
        <v/>
      </c>
      <c r="G753" s="56" t="str">
        <f t="shared" si="36"/>
        <v/>
      </c>
      <c r="H753" s="73"/>
      <c r="I753" s="73"/>
      <c r="J753" s="112" t="str">
        <f t="shared" si="37"/>
        <v/>
      </c>
      <c r="K753" s="68"/>
    </row>
    <row r="754" spans="1:11" x14ac:dyDescent="0.2">
      <c r="A754" s="108"/>
      <c r="B754" s="72" t="str">
        <f>IF(A754&lt;&gt;"",'EDC - PARAMETRAGE'!$A$3,"")</f>
        <v/>
      </c>
      <c r="C754" s="72" t="str">
        <f>IF(A754&lt;&gt;"",VLOOKUP(A754,'EDC - PRODUCTION'!$A$7:$E$49,5,FALSE),"")</f>
        <v/>
      </c>
      <c r="D754" s="72" t="str">
        <f>IF(A754&lt;&gt;"",VLOOKUP(A754,'EDC - PRODUCTION'!$A$7:$I$49,4,FALSE),"")</f>
        <v/>
      </c>
      <c r="E754" s="44"/>
      <c r="F754" s="45" t="str">
        <f t="shared" si="35"/>
        <v/>
      </c>
      <c r="G754" s="56" t="str">
        <f t="shared" si="36"/>
        <v/>
      </c>
      <c r="H754" s="73"/>
      <c r="I754" s="73"/>
      <c r="J754" s="112" t="str">
        <f t="shared" si="37"/>
        <v/>
      </c>
      <c r="K754" s="68"/>
    </row>
    <row r="755" spans="1:11" x14ac:dyDescent="0.2">
      <c r="A755" s="108"/>
      <c r="B755" s="72" t="str">
        <f>IF(A755&lt;&gt;"",'EDC - PARAMETRAGE'!$A$3,"")</f>
        <v/>
      </c>
      <c r="C755" s="72" t="str">
        <f>IF(A755&lt;&gt;"",VLOOKUP(A755,'EDC - PRODUCTION'!$A$7:$E$49,5,FALSE),"")</f>
        <v/>
      </c>
      <c r="D755" s="72" t="str">
        <f>IF(A755&lt;&gt;"",VLOOKUP(A755,'EDC - PRODUCTION'!$A$7:$I$49,4,FALSE),"")</f>
        <v/>
      </c>
      <c r="E755" s="44"/>
      <c r="F755" s="45" t="str">
        <f t="shared" si="35"/>
        <v/>
      </c>
      <c r="G755" s="56" t="str">
        <f t="shared" si="36"/>
        <v/>
      </c>
      <c r="H755" s="73"/>
      <c r="I755" s="73"/>
      <c r="J755" s="112" t="str">
        <f t="shared" si="37"/>
        <v/>
      </c>
      <c r="K755" s="68"/>
    </row>
    <row r="756" spans="1:11" x14ac:dyDescent="0.2">
      <c r="A756" s="108"/>
      <c r="B756" s="72" t="str">
        <f>IF(A756&lt;&gt;"",'EDC - PARAMETRAGE'!$A$3,"")</f>
        <v/>
      </c>
      <c r="C756" s="72" t="str">
        <f>IF(A756&lt;&gt;"",VLOOKUP(A756,'EDC - PRODUCTION'!$A$7:$E$49,5,FALSE),"")</f>
        <v/>
      </c>
      <c r="D756" s="72" t="str">
        <f>IF(A756&lt;&gt;"",VLOOKUP(A756,'EDC - PRODUCTION'!$A$7:$I$49,4,FALSE),"")</f>
        <v/>
      </c>
      <c r="E756" s="44"/>
      <c r="F756" s="45" t="str">
        <f t="shared" si="35"/>
        <v/>
      </c>
      <c r="G756" s="56" t="str">
        <f t="shared" si="36"/>
        <v/>
      </c>
      <c r="H756" s="73"/>
      <c r="I756" s="73"/>
      <c r="J756" s="112" t="str">
        <f t="shared" si="37"/>
        <v/>
      </c>
      <c r="K756" s="68"/>
    </row>
    <row r="757" spans="1:11" x14ac:dyDescent="0.2">
      <c r="A757" s="108"/>
      <c r="B757" s="72" t="str">
        <f>IF(A757&lt;&gt;"",'EDC - PARAMETRAGE'!$A$3,"")</f>
        <v/>
      </c>
      <c r="C757" s="72" t="str">
        <f>IF(A757&lt;&gt;"",VLOOKUP(A757,'EDC - PRODUCTION'!$A$7:$E$49,5,FALSE),"")</f>
        <v/>
      </c>
      <c r="D757" s="72" t="str">
        <f>IF(A757&lt;&gt;"",VLOOKUP(A757,'EDC - PRODUCTION'!$A$7:$I$49,4,FALSE),"")</f>
        <v/>
      </c>
      <c r="E757" s="44"/>
      <c r="F757" s="45" t="str">
        <f t="shared" si="35"/>
        <v/>
      </c>
      <c r="G757" s="56" t="str">
        <f t="shared" si="36"/>
        <v/>
      </c>
      <c r="H757" s="73"/>
      <c r="I757" s="73"/>
      <c r="J757" s="112" t="str">
        <f t="shared" si="37"/>
        <v/>
      </c>
      <c r="K757" s="68"/>
    </row>
    <row r="758" spans="1:11" x14ac:dyDescent="0.2">
      <c r="A758" s="108"/>
      <c r="B758" s="72" t="str">
        <f>IF(A758&lt;&gt;"",'EDC - PARAMETRAGE'!$A$3,"")</f>
        <v/>
      </c>
      <c r="C758" s="72" t="str">
        <f>IF(A758&lt;&gt;"",VLOOKUP(A758,'EDC - PRODUCTION'!$A$7:$E$49,5,FALSE),"")</f>
        <v/>
      </c>
      <c r="D758" s="72" t="str">
        <f>IF(A758&lt;&gt;"",VLOOKUP(A758,'EDC - PRODUCTION'!$A$7:$I$49,4,FALSE),"")</f>
        <v/>
      </c>
      <c r="E758" s="44"/>
      <c r="F758" s="45" t="str">
        <f t="shared" si="35"/>
        <v/>
      </c>
      <c r="G758" s="56" t="str">
        <f t="shared" si="36"/>
        <v/>
      </c>
      <c r="H758" s="73"/>
      <c r="I758" s="73"/>
      <c r="J758" s="112" t="str">
        <f t="shared" si="37"/>
        <v/>
      </c>
      <c r="K758" s="68"/>
    </row>
    <row r="759" spans="1:11" x14ac:dyDescent="0.2">
      <c r="A759" s="108"/>
      <c r="B759" s="72" t="str">
        <f>IF(A759&lt;&gt;"",'EDC - PARAMETRAGE'!$A$3,"")</f>
        <v/>
      </c>
      <c r="C759" s="72" t="str">
        <f>IF(A759&lt;&gt;"",VLOOKUP(A759,'EDC - PRODUCTION'!$A$7:$E$49,5,FALSE),"")</f>
        <v/>
      </c>
      <c r="D759" s="72" t="str">
        <f>IF(A759&lt;&gt;"",VLOOKUP(A759,'EDC - PRODUCTION'!$A$7:$I$49,4,FALSE),"")</f>
        <v/>
      </c>
      <c r="E759" s="44"/>
      <c r="F759" s="45" t="str">
        <f t="shared" si="35"/>
        <v/>
      </c>
      <c r="G759" s="56" t="str">
        <f t="shared" si="36"/>
        <v/>
      </c>
      <c r="H759" s="73"/>
      <c r="I759" s="73"/>
      <c r="J759" s="112" t="str">
        <f t="shared" si="37"/>
        <v/>
      </c>
      <c r="K759" s="68"/>
    </row>
    <row r="760" spans="1:11" x14ac:dyDescent="0.2">
      <c r="A760" s="108"/>
      <c r="B760" s="72" t="str">
        <f>IF(A760&lt;&gt;"",'EDC - PARAMETRAGE'!$A$3,"")</f>
        <v/>
      </c>
      <c r="C760" s="72" t="str">
        <f>IF(A760&lt;&gt;"",VLOOKUP(A760,'EDC - PRODUCTION'!$A$7:$E$49,5,FALSE),"")</f>
        <v/>
      </c>
      <c r="D760" s="72" t="str">
        <f>IF(A760&lt;&gt;"",VLOOKUP(A760,'EDC - PRODUCTION'!$A$7:$I$49,4,FALSE),"")</f>
        <v/>
      </c>
      <c r="E760" s="44"/>
      <c r="F760" s="45" t="str">
        <f t="shared" si="35"/>
        <v/>
      </c>
      <c r="G760" s="56" t="str">
        <f t="shared" si="36"/>
        <v/>
      </c>
      <c r="H760" s="73"/>
      <c r="I760" s="73"/>
      <c r="J760" s="112" t="str">
        <f t="shared" si="37"/>
        <v/>
      </c>
      <c r="K760" s="68"/>
    </row>
    <row r="761" spans="1:11" x14ac:dyDescent="0.2">
      <c r="A761" s="108"/>
      <c r="B761" s="72" t="str">
        <f>IF(A761&lt;&gt;"",'EDC - PARAMETRAGE'!$A$3,"")</f>
        <v/>
      </c>
      <c r="C761" s="72" t="str">
        <f>IF(A761&lt;&gt;"",VLOOKUP(A761,'EDC - PRODUCTION'!$A$7:$E$49,5,FALSE),"")</f>
        <v/>
      </c>
      <c r="D761" s="72" t="str">
        <f>IF(A761&lt;&gt;"",VLOOKUP(A761,'EDC - PRODUCTION'!$A$7:$I$49,4,FALSE),"")</f>
        <v/>
      </c>
      <c r="E761" s="44"/>
      <c r="F761" s="45" t="str">
        <f t="shared" si="35"/>
        <v/>
      </c>
      <c r="G761" s="56" t="str">
        <f t="shared" si="36"/>
        <v/>
      </c>
      <c r="H761" s="73"/>
      <c r="I761" s="73"/>
      <c r="J761" s="112" t="str">
        <f t="shared" si="37"/>
        <v/>
      </c>
      <c r="K761" s="68"/>
    </row>
    <row r="762" spans="1:11" x14ac:dyDescent="0.2">
      <c r="A762" s="108"/>
      <c r="B762" s="72" t="str">
        <f>IF(A762&lt;&gt;"",'EDC - PARAMETRAGE'!$A$3,"")</f>
        <v/>
      </c>
      <c r="C762" s="72" t="str">
        <f>IF(A762&lt;&gt;"",VLOOKUP(A762,'EDC - PRODUCTION'!$A$7:$E$49,5,FALSE),"")</f>
        <v/>
      </c>
      <c r="D762" s="72" t="str">
        <f>IF(A762&lt;&gt;"",VLOOKUP(A762,'EDC - PRODUCTION'!$A$7:$I$49,4,FALSE),"")</f>
        <v/>
      </c>
      <c r="E762" s="44"/>
      <c r="F762" s="45" t="str">
        <f t="shared" si="35"/>
        <v/>
      </c>
      <c r="G762" s="56" t="str">
        <f t="shared" si="36"/>
        <v/>
      </c>
      <c r="H762" s="73"/>
      <c r="I762" s="73"/>
      <c r="J762" s="112" t="str">
        <f t="shared" si="37"/>
        <v/>
      </c>
      <c r="K762" s="68"/>
    </row>
    <row r="763" spans="1:11" x14ac:dyDescent="0.2">
      <c r="A763" s="108"/>
      <c r="B763" s="72" t="str">
        <f>IF(A763&lt;&gt;"",'EDC - PARAMETRAGE'!$A$3,"")</f>
        <v/>
      </c>
      <c r="C763" s="72" t="str">
        <f>IF(A763&lt;&gt;"",VLOOKUP(A763,'EDC - PRODUCTION'!$A$7:$E$49,5,FALSE),"")</f>
        <v/>
      </c>
      <c r="D763" s="72" t="str">
        <f>IF(A763&lt;&gt;"",VLOOKUP(A763,'EDC - PRODUCTION'!$A$7:$I$49,4,FALSE),"")</f>
        <v/>
      </c>
      <c r="E763" s="44"/>
      <c r="F763" s="45" t="str">
        <f t="shared" si="35"/>
        <v/>
      </c>
      <c r="G763" s="56" t="str">
        <f t="shared" si="36"/>
        <v/>
      </c>
      <c r="H763" s="73"/>
      <c r="I763" s="73"/>
      <c r="J763" s="112" t="str">
        <f t="shared" si="37"/>
        <v/>
      </c>
      <c r="K763" s="68"/>
    </row>
    <row r="764" spans="1:11" x14ac:dyDescent="0.2">
      <c r="A764" s="108"/>
      <c r="B764" s="72" t="str">
        <f>IF(A764&lt;&gt;"",'EDC - PARAMETRAGE'!$A$3,"")</f>
        <v/>
      </c>
      <c r="C764" s="72" t="str">
        <f>IF(A764&lt;&gt;"",VLOOKUP(A764,'EDC - PRODUCTION'!$A$7:$E$49,5,FALSE),"")</f>
        <v/>
      </c>
      <c r="D764" s="72" t="str">
        <f>IF(A764&lt;&gt;"",VLOOKUP(A764,'EDC - PRODUCTION'!$A$7:$I$49,4,FALSE),"")</f>
        <v/>
      </c>
      <c r="E764" s="44"/>
      <c r="F764" s="45" t="str">
        <f t="shared" si="35"/>
        <v/>
      </c>
      <c r="G764" s="56" t="str">
        <f t="shared" si="36"/>
        <v/>
      </c>
      <c r="H764" s="73"/>
      <c r="I764" s="73"/>
      <c r="J764" s="112" t="str">
        <f t="shared" si="37"/>
        <v/>
      </c>
      <c r="K764" s="68"/>
    </row>
    <row r="765" spans="1:11" x14ac:dyDescent="0.2">
      <c r="A765" s="108"/>
      <c r="B765" s="72" t="str">
        <f>IF(A765&lt;&gt;"",'EDC - PARAMETRAGE'!$A$3,"")</f>
        <v/>
      </c>
      <c r="C765" s="72" t="str">
        <f>IF(A765&lt;&gt;"",VLOOKUP(A765,'EDC - PRODUCTION'!$A$7:$E$49,5,FALSE),"")</f>
        <v/>
      </c>
      <c r="D765" s="72" t="str">
        <f>IF(A765&lt;&gt;"",VLOOKUP(A765,'EDC - PRODUCTION'!$A$7:$I$49,4,FALSE),"")</f>
        <v/>
      </c>
      <c r="E765" s="44"/>
      <c r="F765" s="45" t="str">
        <f t="shared" si="35"/>
        <v/>
      </c>
      <c r="G765" s="56" t="str">
        <f t="shared" si="36"/>
        <v/>
      </c>
      <c r="H765" s="73"/>
      <c r="I765" s="73"/>
      <c r="J765" s="112" t="str">
        <f t="shared" si="37"/>
        <v/>
      </c>
      <c r="K765" s="68"/>
    </row>
    <row r="766" spans="1:11" x14ac:dyDescent="0.2">
      <c r="A766" s="108"/>
      <c r="B766" s="72" t="str">
        <f>IF(A766&lt;&gt;"",'EDC - PARAMETRAGE'!$A$3,"")</f>
        <v/>
      </c>
      <c r="C766" s="72" t="str">
        <f>IF(A766&lt;&gt;"",VLOOKUP(A766,'EDC - PRODUCTION'!$A$7:$E$49,5,FALSE),"")</f>
        <v/>
      </c>
      <c r="D766" s="72" t="str">
        <f>IF(A766&lt;&gt;"",VLOOKUP(A766,'EDC - PRODUCTION'!$A$7:$I$49,4,FALSE),"")</f>
        <v/>
      </c>
      <c r="E766" s="44"/>
      <c r="F766" s="45" t="str">
        <f t="shared" si="35"/>
        <v/>
      </c>
      <c r="G766" s="56" t="str">
        <f t="shared" si="36"/>
        <v/>
      </c>
      <c r="H766" s="73"/>
      <c r="I766" s="73"/>
      <c r="J766" s="112" t="str">
        <f t="shared" si="37"/>
        <v/>
      </c>
      <c r="K766" s="68"/>
    </row>
    <row r="767" spans="1:11" x14ac:dyDescent="0.2">
      <c r="A767" s="108"/>
      <c r="B767" s="72" t="str">
        <f>IF(A767&lt;&gt;"",'EDC - PARAMETRAGE'!$A$3,"")</f>
        <v/>
      </c>
      <c r="C767" s="72" t="str">
        <f>IF(A767&lt;&gt;"",VLOOKUP(A767,'EDC - PRODUCTION'!$A$7:$E$49,5,FALSE),"")</f>
        <v/>
      </c>
      <c r="D767" s="72" t="str">
        <f>IF(A767&lt;&gt;"",VLOOKUP(A767,'EDC - PRODUCTION'!$A$7:$I$49,4,FALSE),"")</f>
        <v/>
      </c>
      <c r="E767" s="44"/>
      <c r="F767" s="45" t="str">
        <f t="shared" si="35"/>
        <v/>
      </c>
      <c r="G767" s="56" t="str">
        <f t="shared" si="36"/>
        <v/>
      </c>
      <c r="H767" s="73"/>
      <c r="I767" s="73"/>
      <c r="J767" s="112" t="str">
        <f t="shared" si="37"/>
        <v/>
      </c>
      <c r="K767" s="68"/>
    </row>
    <row r="768" spans="1:11" x14ac:dyDescent="0.2">
      <c r="A768" s="108"/>
      <c r="B768" s="72" t="str">
        <f>IF(A768&lt;&gt;"",'EDC - PARAMETRAGE'!$A$3,"")</f>
        <v/>
      </c>
      <c r="C768" s="72" t="str">
        <f>IF(A768&lt;&gt;"",VLOOKUP(A768,'EDC - PRODUCTION'!$A$7:$E$49,5,FALSE),"")</f>
        <v/>
      </c>
      <c r="D768" s="72" t="str">
        <f>IF(A768&lt;&gt;"",VLOOKUP(A768,'EDC - PRODUCTION'!$A$7:$I$49,4,FALSE),"")</f>
        <v/>
      </c>
      <c r="E768" s="44"/>
      <c r="F768" s="45" t="str">
        <f t="shared" si="35"/>
        <v/>
      </c>
      <c r="G768" s="56" t="str">
        <f t="shared" si="36"/>
        <v/>
      </c>
      <c r="H768" s="73"/>
      <c r="I768" s="73"/>
      <c r="J768" s="112" t="str">
        <f t="shared" si="37"/>
        <v/>
      </c>
      <c r="K768" s="68"/>
    </row>
    <row r="769" spans="1:11" x14ac:dyDescent="0.2">
      <c r="A769" s="108"/>
      <c r="B769" s="72" t="str">
        <f>IF(A769&lt;&gt;"",'EDC - PARAMETRAGE'!$A$3,"")</f>
        <v/>
      </c>
      <c r="C769" s="72" t="str">
        <f>IF(A769&lt;&gt;"",VLOOKUP(A769,'EDC - PRODUCTION'!$A$7:$E$49,5,FALSE),"")</f>
        <v/>
      </c>
      <c r="D769" s="72" t="str">
        <f>IF(A769&lt;&gt;"",VLOOKUP(A769,'EDC - PRODUCTION'!$A$7:$I$49,4,FALSE),"")</f>
        <v/>
      </c>
      <c r="E769" s="44"/>
      <c r="F769" s="45" t="str">
        <f t="shared" si="35"/>
        <v/>
      </c>
      <c r="G769" s="56" t="str">
        <f t="shared" si="36"/>
        <v/>
      </c>
      <c r="H769" s="73"/>
      <c r="I769" s="73"/>
      <c r="J769" s="112" t="str">
        <f t="shared" si="37"/>
        <v/>
      </c>
      <c r="K769" s="68"/>
    </row>
    <row r="770" spans="1:11" x14ac:dyDescent="0.2">
      <c r="A770" s="108"/>
      <c r="B770" s="72" t="str">
        <f>IF(A770&lt;&gt;"",'EDC - PARAMETRAGE'!$A$3,"")</f>
        <v/>
      </c>
      <c r="C770" s="72" t="str">
        <f>IF(A770&lt;&gt;"",VLOOKUP(A770,'EDC - PRODUCTION'!$A$7:$E$49,5,FALSE),"")</f>
        <v/>
      </c>
      <c r="D770" s="72" t="str">
        <f>IF(A770&lt;&gt;"",VLOOKUP(A770,'EDC - PRODUCTION'!$A$7:$I$49,4,FALSE),"")</f>
        <v/>
      </c>
      <c r="E770" s="44"/>
      <c r="F770" s="45" t="str">
        <f t="shared" si="35"/>
        <v/>
      </c>
      <c r="G770" s="56" t="str">
        <f t="shared" si="36"/>
        <v/>
      </c>
      <c r="H770" s="73"/>
      <c r="I770" s="73"/>
      <c r="J770" s="112" t="str">
        <f t="shared" si="37"/>
        <v/>
      </c>
      <c r="K770" s="68"/>
    </row>
    <row r="771" spans="1:11" x14ac:dyDescent="0.2">
      <c r="A771" s="108"/>
      <c r="B771" s="72" t="str">
        <f>IF(A771&lt;&gt;"",'EDC - PARAMETRAGE'!$A$3,"")</f>
        <v/>
      </c>
      <c r="C771" s="72" t="str">
        <f>IF(A771&lt;&gt;"",VLOOKUP(A771,'EDC - PRODUCTION'!$A$7:$E$49,5,FALSE),"")</f>
        <v/>
      </c>
      <c r="D771" s="72" t="str">
        <f>IF(A771&lt;&gt;"",VLOOKUP(A771,'EDC - PRODUCTION'!$A$7:$I$49,4,FALSE),"")</f>
        <v/>
      </c>
      <c r="E771" s="44"/>
      <c r="F771" s="45" t="str">
        <f t="shared" si="35"/>
        <v/>
      </c>
      <c r="G771" s="56" t="str">
        <f t="shared" si="36"/>
        <v/>
      </c>
      <c r="H771" s="73"/>
      <c r="I771" s="73"/>
      <c r="J771" s="112" t="str">
        <f t="shared" si="37"/>
        <v/>
      </c>
      <c r="K771" s="68"/>
    </row>
    <row r="772" spans="1:11" x14ac:dyDescent="0.2">
      <c r="A772" s="108"/>
      <c r="B772" s="72" t="str">
        <f>IF(A772&lt;&gt;"",'EDC - PARAMETRAGE'!$A$3,"")</f>
        <v/>
      </c>
      <c r="C772" s="72" t="str">
        <f>IF(A772&lt;&gt;"",VLOOKUP(A772,'EDC - PRODUCTION'!$A$7:$E$49,5,FALSE),"")</f>
        <v/>
      </c>
      <c r="D772" s="72" t="str">
        <f>IF(A772&lt;&gt;"",VLOOKUP(A772,'EDC - PRODUCTION'!$A$7:$I$49,4,FALSE),"")</f>
        <v/>
      </c>
      <c r="E772" s="44"/>
      <c r="F772" s="45" t="str">
        <f t="shared" ref="F772:F835" si="38">IF(A772&lt;&gt;"","DDE","")</f>
        <v/>
      </c>
      <c r="G772" s="56" t="str">
        <f t="shared" ref="G772:G835" si="39">IF(A772&lt;&gt;"",1,"")</f>
        <v/>
      </c>
      <c r="H772" s="73"/>
      <c r="I772" s="73"/>
      <c r="J772" s="112" t="str">
        <f t="shared" ref="J772:J835" si="40">IF(A772&lt;&gt;"",SUM(H772:I772),"")</f>
        <v/>
      </c>
      <c r="K772" s="68"/>
    </row>
    <row r="773" spans="1:11" x14ac:dyDescent="0.2">
      <c r="A773" s="108"/>
      <c r="B773" s="72" t="str">
        <f>IF(A773&lt;&gt;"",'EDC - PARAMETRAGE'!$A$3,"")</f>
        <v/>
      </c>
      <c r="C773" s="72" t="str">
        <f>IF(A773&lt;&gt;"",VLOOKUP(A773,'EDC - PRODUCTION'!$A$7:$E$49,5,FALSE),"")</f>
        <v/>
      </c>
      <c r="D773" s="72" t="str">
        <f>IF(A773&lt;&gt;"",VLOOKUP(A773,'EDC - PRODUCTION'!$A$7:$I$49,4,FALSE),"")</f>
        <v/>
      </c>
      <c r="E773" s="44"/>
      <c r="F773" s="45" t="str">
        <f t="shared" si="38"/>
        <v/>
      </c>
      <c r="G773" s="56" t="str">
        <f t="shared" si="39"/>
        <v/>
      </c>
      <c r="H773" s="73"/>
      <c r="I773" s="73"/>
      <c r="J773" s="112" t="str">
        <f t="shared" si="40"/>
        <v/>
      </c>
      <c r="K773" s="68"/>
    </row>
    <row r="774" spans="1:11" x14ac:dyDescent="0.2">
      <c r="A774" s="108"/>
      <c r="B774" s="72" t="str">
        <f>IF(A774&lt;&gt;"",'EDC - PARAMETRAGE'!$A$3,"")</f>
        <v/>
      </c>
      <c r="C774" s="72" t="str">
        <f>IF(A774&lt;&gt;"",VLOOKUP(A774,'EDC - PRODUCTION'!$A$7:$E$49,5,FALSE),"")</f>
        <v/>
      </c>
      <c r="D774" s="72" t="str">
        <f>IF(A774&lt;&gt;"",VLOOKUP(A774,'EDC - PRODUCTION'!$A$7:$I$49,4,FALSE),"")</f>
        <v/>
      </c>
      <c r="E774" s="44"/>
      <c r="F774" s="45" t="str">
        <f t="shared" si="38"/>
        <v/>
      </c>
      <c r="G774" s="56" t="str">
        <f t="shared" si="39"/>
        <v/>
      </c>
      <c r="H774" s="73"/>
      <c r="I774" s="73"/>
      <c r="J774" s="112" t="str">
        <f t="shared" si="40"/>
        <v/>
      </c>
      <c r="K774" s="68"/>
    </row>
    <row r="775" spans="1:11" x14ac:dyDescent="0.2">
      <c r="A775" s="108"/>
      <c r="B775" s="72" t="str">
        <f>IF(A775&lt;&gt;"",'EDC - PARAMETRAGE'!$A$3,"")</f>
        <v/>
      </c>
      <c r="C775" s="72" t="str">
        <f>IF(A775&lt;&gt;"",VLOOKUP(A775,'EDC - PRODUCTION'!$A$7:$E$49,5,FALSE),"")</f>
        <v/>
      </c>
      <c r="D775" s="72" t="str">
        <f>IF(A775&lt;&gt;"",VLOOKUP(A775,'EDC - PRODUCTION'!$A$7:$I$49,4,FALSE),"")</f>
        <v/>
      </c>
      <c r="E775" s="44"/>
      <c r="F775" s="45" t="str">
        <f t="shared" si="38"/>
        <v/>
      </c>
      <c r="G775" s="56" t="str">
        <f t="shared" si="39"/>
        <v/>
      </c>
      <c r="H775" s="73"/>
      <c r="I775" s="73"/>
      <c r="J775" s="112" t="str">
        <f t="shared" si="40"/>
        <v/>
      </c>
      <c r="K775" s="68"/>
    </row>
    <row r="776" spans="1:11" x14ac:dyDescent="0.2">
      <c r="A776" s="108"/>
      <c r="B776" s="72" t="str">
        <f>IF(A776&lt;&gt;"",'EDC - PARAMETRAGE'!$A$3,"")</f>
        <v/>
      </c>
      <c r="C776" s="72" t="str">
        <f>IF(A776&lt;&gt;"",VLOOKUP(A776,'EDC - PRODUCTION'!$A$7:$E$49,5,FALSE),"")</f>
        <v/>
      </c>
      <c r="D776" s="72" t="str">
        <f>IF(A776&lt;&gt;"",VLOOKUP(A776,'EDC - PRODUCTION'!$A$7:$I$49,4,FALSE),"")</f>
        <v/>
      </c>
      <c r="E776" s="44"/>
      <c r="F776" s="45" t="str">
        <f t="shared" si="38"/>
        <v/>
      </c>
      <c r="G776" s="56" t="str">
        <f t="shared" si="39"/>
        <v/>
      </c>
      <c r="H776" s="73"/>
      <c r="I776" s="73"/>
      <c r="J776" s="112" t="str">
        <f t="shared" si="40"/>
        <v/>
      </c>
      <c r="K776" s="68"/>
    </row>
    <row r="777" spans="1:11" x14ac:dyDescent="0.2">
      <c r="A777" s="108"/>
      <c r="B777" s="72" t="str">
        <f>IF(A777&lt;&gt;"",'EDC - PARAMETRAGE'!$A$3,"")</f>
        <v/>
      </c>
      <c r="C777" s="72" t="str">
        <f>IF(A777&lt;&gt;"",VLOOKUP(A777,'EDC - PRODUCTION'!$A$7:$E$49,5,FALSE),"")</f>
        <v/>
      </c>
      <c r="D777" s="72" t="str">
        <f>IF(A777&lt;&gt;"",VLOOKUP(A777,'EDC - PRODUCTION'!$A$7:$I$49,4,FALSE),"")</f>
        <v/>
      </c>
      <c r="E777" s="44"/>
      <c r="F777" s="45" t="str">
        <f t="shared" si="38"/>
        <v/>
      </c>
      <c r="G777" s="56" t="str">
        <f t="shared" si="39"/>
        <v/>
      </c>
      <c r="H777" s="73"/>
      <c r="I777" s="73"/>
      <c r="J777" s="112" t="str">
        <f t="shared" si="40"/>
        <v/>
      </c>
      <c r="K777" s="68"/>
    </row>
    <row r="778" spans="1:11" x14ac:dyDescent="0.2">
      <c r="A778" s="108"/>
      <c r="B778" s="72" t="str">
        <f>IF(A778&lt;&gt;"",'EDC - PARAMETRAGE'!$A$3,"")</f>
        <v/>
      </c>
      <c r="C778" s="72" t="str">
        <f>IF(A778&lt;&gt;"",VLOOKUP(A778,'EDC - PRODUCTION'!$A$7:$E$49,5,FALSE),"")</f>
        <v/>
      </c>
      <c r="D778" s="72" t="str">
        <f>IF(A778&lt;&gt;"",VLOOKUP(A778,'EDC - PRODUCTION'!$A$7:$I$49,4,FALSE),"")</f>
        <v/>
      </c>
      <c r="E778" s="44"/>
      <c r="F778" s="45" t="str">
        <f t="shared" si="38"/>
        <v/>
      </c>
      <c r="G778" s="56" t="str">
        <f t="shared" si="39"/>
        <v/>
      </c>
      <c r="H778" s="73"/>
      <c r="I778" s="73"/>
      <c r="J778" s="112" t="str">
        <f t="shared" si="40"/>
        <v/>
      </c>
      <c r="K778" s="68"/>
    </row>
    <row r="779" spans="1:11" x14ac:dyDescent="0.2">
      <c r="A779" s="108"/>
      <c r="B779" s="72" t="str">
        <f>IF(A779&lt;&gt;"",'EDC - PARAMETRAGE'!$A$3,"")</f>
        <v/>
      </c>
      <c r="C779" s="72" t="str">
        <f>IF(A779&lt;&gt;"",VLOOKUP(A779,'EDC - PRODUCTION'!$A$7:$E$49,5,FALSE),"")</f>
        <v/>
      </c>
      <c r="D779" s="72" t="str">
        <f>IF(A779&lt;&gt;"",VLOOKUP(A779,'EDC - PRODUCTION'!$A$7:$I$49,4,FALSE),"")</f>
        <v/>
      </c>
      <c r="E779" s="44"/>
      <c r="F779" s="45" t="str">
        <f t="shared" si="38"/>
        <v/>
      </c>
      <c r="G779" s="56" t="str">
        <f t="shared" si="39"/>
        <v/>
      </c>
      <c r="H779" s="73"/>
      <c r="I779" s="73"/>
      <c r="J779" s="112" t="str">
        <f t="shared" si="40"/>
        <v/>
      </c>
      <c r="K779" s="68"/>
    </row>
    <row r="780" spans="1:11" x14ac:dyDescent="0.2">
      <c r="A780" s="108"/>
      <c r="B780" s="72" t="str">
        <f>IF(A780&lt;&gt;"",'EDC - PARAMETRAGE'!$A$3,"")</f>
        <v/>
      </c>
      <c r="C780" s="72" t="str">
        <f>IF(A780&lt;&gt;"",VLOOKUP(A780,'EDC - PRODUCTION'!$A$7:$E$49,5,FALSE),"")</f>
        <v/>
      </c>
      <c r="D780" s="72" t="str">
        <f>IF(A780&lt;&gt;"",VLOOKUP(A780,'EDC - PRODUCTION'!$A$7:$I$49,4,FALSE),"")</f>
        <v/>
      </c>
      <c r="E780" s="44"/>
      <c r="F780" s="45" t="str">
        <f t="shared" si="38"/>
        <v/>
      </c>
      <c r="G780" s="56" t="str">
        <f t="shared" si="39"/>
        <v/>
      </c>
      <c r="H780" s="73"/>
      <c r="I780" s="73"/>
      <c r="J780" s="112" t="str">
        <f t="shared" si="40"/>
        <v/>
      </c>
      <c r="K780" s="68"/>
    </row>
    <row r="781" spans="1:11" x14ac:dyDescent="0.2">
      <c r="A781" s="108"/>
      <c r="B781" s="72" t="str">
        <f>IF(A781&lt;&gt;"",'EDC - PARAMETRAGE'!$A$3,"")</f>
        <v/>
      </c>
      <c r="C781" s="72" t="str">
        <f>IF(A781&lt;&gt;"",VLOOKUP(A781,'EDC - PRODUCTION'!$A$7:$E$49,5,FALSE),"")</f>
        <v/>
      </c>
      <c r="D781" s="72" t="str">
        <f>IF(A781&lt;&gt;"",VLOOKUP(A781,'EDC - PRODUCTION'!$A$7:$I$49,4,FALSE),"")</f>
        <v/>
      </c>
      <c r="E781" s="44"/>
      <c r="F781" s="45" t="str">
        <f t="shared" si="38"/>
        <v/>
      </c>
      <c r="G781" s="56" t="str">
        <f t="shared" si="39"/>
        <v/>
      </c>
      <c r="H781" s="73"/>
      <c r="I781" s="73"/>
      <c r="J781" s="112" t="str">
        <f t="shared" si="40"/>
        <v/>
      </c>
      <c r="K781" s="68"/>
    </row>
    <row r="782" spans="1:11" x14ac:dyDescent="0.2">
      <c r="A782" s="108"/>
      <c r="B782" s="72" t="str">
        <f>IF(A782&lt;&gt;"",'EDC - PARAMETRAGE'!$A$3,"")</f>
        <v/>
      </c>
      <c r="C782" s="72" t="str">
        <f>IF(A782&lt;&gt;"",VLOOKUP(A782,'EDC - PRODUCTION'!$A$7:$E$49,5,FALSE),"")</f>
        <v/>
      </c>
      <c r="D782" s="72" t="str">
        <f>IF(A782&lt;&gt;"",VLOOKUP(A782,'EDC - PRODUCTION'!$A$7:$I$49,4,FALSE),"")</f>
        <v/>
      </c>
      <c r="E782" s="44"/>
      <c r="F782" s="45" t="str">
        <f t="shared" si="38"/>
        <v/>
      </c>
      <c r="G782" s="56" t="str">
        <f t="shared" si="39"/>
        <v/>
      </c>
      <c r="H782" s="73"/>
      <c r="I782" s="73"/>
      <c r="J782" s="112" t="str">
        <f t="shared" si="40"/>
        <v/>
      </c>
      <c r="K782" s="68"/>
    </row>
    <row r="783" spans="1:11" x14ac:dyDescent="0.2">
      <c r="A783" s="108"/>
      <c r="B783" s="72" t="str">
        <f>IF(A783&lt;&gt;"",'EDC - PARAMETRAGE'!$A$3,"")</f>
        <v/>
      </c>
      <c r="C783" s="72" t="str">
        <f>IF(A783&lt;&gt;"",VLOOKUP(A783,'EDC - PRODUCTION'!$A$7:$E$49,5,FALSE),"")</f>
        <v/>
      </c>
      <c r="D783" s="72" t="str">
        <f>IF(A783&lt;&gt;"",VLOOKUP(A783,'EDC - PRODUCTION'!$A$7:$I$49,4,FALSE),"")</f>
        <v/>
      </c>
      <c r="E783" s="44"/>
      <c r="F783" s="45" t="str">
        <f t="shared" si="38"/>
        <v/>
      </c>
      <c r="G783" s="56" t="str">
        <f t="shared" si="39"/>
        <v/>
      </c>
      <c r="H783" s="73"/>
      <c r="I783" s="73"/>
      <c r="J783" s="112" t="str">
        <f t="shared" si="40"/>
        <v/>
      </c>
      <c r="K783" s="68"/>
    </row>
    <row r="784" spans="1:11" x14ac:dyDescent="0.2">
      <c r="A784" s="108"/>
      <c r="B784" s="72" t="str">
        <f>IF(A784&lt;&gt;"",'EDC - PARAMETRAGE'!$A$3,"")</f>
        <v/>
      </c>
      <c r="C784" s="72" t="str">
        <f>IF(A784&lt;&gt;"",VLOOKUP(A784,'EDC - PRODUCTION'!$A$7:$E$49,5,FALSE),"")</f>
        <v/>
      </c>
      <c r="D784" s="72" t="str">
        <f>IF(A784&lt;&gt;"",VLOOKUP(A784,'EDC - PRODUCTION'!$A$7:$I$49,4,FALSE),"")</f>
        <v/>
      </c>
      <c r="E784" s="44"/>
      <c r="F784" s="45" t="str">
        <f t="shared" si="38"/>
        <v/>
      </c>
      <c r="G784" s="56" t="str">
        <f t="shared" si="39"/>
        <v/>
      </c>
      <c r="H784" s="73"/>
      <c r="I784" s="73"/>
      <c r="J784" s="112" t="str">
        <f t="shared" si="40"/>
        <v/>
      </c>
      <c r="K784" s="68"/>
    </row>
    <row r="785" spans="1:11" x14ac:dyDescent="0.2">
      <c r="A785" s="108"/>
      <c r="B785" s="72" t="str">
        <f>IF(A785&lt;&gt;"",'EDC - PARAMETRAGE'!$A$3,"")</f>
        <v/>
      </c>
      <c r="C785" s="72" t="str">
        <f>IF(A785&lt;&gt;"",VLOOKUP(A785,'EDC - PRODUCTION'!$A$7:$E$49,5,FALSE),"")</f>
        <v/>
      </c>
      <c r="D785" s="72" t="str">
        <f>IF(A785&lt;&gt;"",VLOOKUP(A785,'EDC - PRODUCTION'!$A$7:$I$49,4,FALSE),"")</f>
        <v/>
      </c>
      <c r="E785" s="44"/>
      <c r="F785" s="45" t="str">
        <f t="shared" si="38"/>
        <v/>
      </c>
      <c r="G785" s="56" t="str">
        <f t="shared" si="39"/>
        <v/>
      </c>
      <c r="H785" s="73"/>
      <c r="I785" s="73"/>
      <c r="J785" s="112" t="str">
        <f t="shared" si="40"/>
        <v/>
      </c>
      <c r="K785" s="68"/>
    </row>
    <row r="786" spans="1:11" x14ac:dyDescent="0.2">
      <c r="A786" s="108"/>
      <c r="B786" s="72" t="str">
        <f>IF(A786&lt;&gt;"",'EDC - PARAMETRAGE'!$A$3,"")</f>
        <v/>
      </c>
      <c r="C786" s="72" t="str">
        <f>IF(A786&lt;&gt;"",VLOOKUP(A786,'EDC - PRODUCTION'!$A$7:$E$49,5,FALSE),"")</f>
        <v/>
      </c>
      <c r="D786" s="72" t="str">
        <f>IF(A786&lt;&gt;"",VLOOKUP(A786,'EDC - PRODUCTION'!$A$7:$I$49,4,FALSE),"")</f>
        <v/>
      </c>
      <c r="E786" s="44"/>
      <c r="F786" s="45" t="str">
        <f t="shared" si="38"/>
        <v/>
      </c>
      <c r="G786" s="56" t="str">
        <f t="shared" si="39"/>
        <v/>
      </c>
      <c r="H786" s="73"/>
      <c r="I786" s="73"/>
      <c r="J786" s="112" t="str">
        <f t="shared" si="40"/>
        <v/>
      </c>
      <c r="K786" s="68"/>
    </row>
    <row r="787" spans="1:11" x14ac:dyDescent="0.2">
      <c r="A787" s="108"/>
      <c r="B787" s="72" t="str">
        <f>IF(A787&lt;&gt;"",'EDC - PARAMETRAGE'!$A$3,"")</f>
        <v/>
      </c>
      <c r="C787" s="72" t="str">
        <f>IF(A787&lt;&gt;"",VLOOKUP(A787,'EDC - PRODUCTION'!$A$7:$E$49,5,FALSE),"")</f>
        <v/>
      </c>
      <c r="D787" s="72" t="str">
        <f>IF(A787&lt;&gt;"",VLOOKUP(A787,'EDC - PRODUCTION'!$A$7:$I$49,4,FALSE),"")</f>
        <v/>
      </c>
      <c r="E787" s="44"/>
      <c r="F787" s="45" t="str">
        <f t="shared" si="38"/>
        <v/>
      </c>
      <c r="G787" s="56" t="str">
        <f t="shared" si="39"/>
        <v/>
      </c>
      <c r="H787" s="73"/>
      <c r="I787" s="73"/>
      <c r="J787" s="112" t="str">
        <f t="shared" si="40"/>
        <v/>
      </c>
      <c r="K787" s="68"/>
    </row>
    <row r="788" spans="1:11" x14ac:dyDescent="0.2">
      <c r="A788" s="108"/>
      <c r="B788" s="72" t="str">
        <f>IF(A788&lt;&gt;"",'EDC - PARAMETRAGE'!$A$3,"")</f>
        <v/>
      </c>
      <c r="C788" s="72" t="str">
        <f>IF(A788&lt;&gt;"",VLOOKUP(A788,'EDC - PRODUCTION'!$A$7:$E$49,5,FALSE),"")</f>
        <v/>
      </c>
      <c r="D788" s="72" t="str">
        <f>IF(A788&lt;&gt;"",VLOOKUP(A788,'EDC - PRODUCTION'!$A$7:$I$49,4,FALSE),"")</f>
        <v/>
      </c>
      <c r="E788" s="44"/>
      <c r="F788" s="45" t="str">
        <f t="shared" si="38"/>
        <v/>
      </c>
      <c r="G788" s="56" t="str">
        <f t="shared" si="39"/>
        <v/>
      </c>
      <c r="H788" s="73"/>
      <c r="I788" s="73"/>
      <c r="J788" s="112" t="str">
        <f t="shared" si="40"/>
        <v/>
      </c>
      <c r="K788" s="68"/>
    </row>
    <row r="789" spans="1:11" x14ac:dyDescent="0.2">
      <c r="A789" s="108"/>
      <c r="B789" s="72" t="str">
        <f>IF(A789&lt;&gt;"",'EDC - PARAMETRAGE'!$A$3,"")</f>
        <v/>
      </c>
      <c r="C789" s="72" t="str">
        <f>IF(A789&lt;&gt;"",VLOOKUP(A789,'EDC - PRODUCTION'!$A$7:$E$49,5,FALSE),"")</f>
        <v/>
      </c>
      <c r="D789" s="72" t="str">
        <f>IF(A789&lt;&gt;"",VLOOKUP(A789,'EDC - PRODUCTION'!$A$7:$I$49,4,FALSE),"")</f>
        <v/>
      </c>
      <c r="E789" s="44"/>
      <c r="F789" s="45" t="str">
        <f t="shared" si="38"/>
        <v/>
      </c>
      <c r="G789" s="56" t="str">
        <f t="shared" si="39"/>
        <v/>
      </c>
      <c r="H789" s="73"/>
      <c r="I789" s="73"/>
      <c r="J789" s="112" t="str">
        <f t="shared" si="40"/>
        <v/>
      </c>
      <c r="K789" s="68"/>
    </row>
    <row r="790" spans="1:11" x14ac:dyDescent="0.2">
      <c r="A790" s="108"/>
      <c r="B790" s="72" t="str">
        <f>IF(A790&lt;&gt;"",'EDC - PARAMETRAGE'!$A$3,"")</f>
        <v/>
      </c>
      <c r="C790" s="72" t="str">
        <f>IF(A790&lt;&gt;"",VLOOKUP(A790,'EDC - PRODUCTION'!$A$7:$E$49,5,FALSE),"")</f>
        <v/>
      </c>
      <c r="D790" s="72" t="str">
        <f>IF(A790&lt;&gt;"",VLOOKUP(A790,'EDC - PRODUCTION'!$A$7:$I$49,4,FALSE),"")</f>
        <v/>
      </c>
      <c r="E790" s="44"/>
      <c r="F790" s="45" t="str">
        <f t="shared" si="38"/>
        <v/>
      </c>
      <c r="G790" s="56" t="str">
        <f t="shared" si="39"/>
        <v/>
      </c>
      <c r="H790" s="73"/>
      <c r="I790" s="73"/>
      <c r="J790" s="112" t="str">
        <f t="shared" si="40"/>
        <v/>
      </c>
      <c r="K790" s="68"/>
    </row>
    <row r="791" spans="1:11" x14ac:dyDescent="0.2">
      <c r="A791" s="108"/>
      <c r="B791" s="72" t="str">
        <f>IF(A791&lt;&gt;"",'EDC - PARAMETRAGE'!$A$3,"")</f>
        <v/>
      </c>
      <c r="C791" s="72" t="str">
        <f>IF(A791&lt;&gt;"",VLOOKUP(A791,'EDC - PRODUCTION'!$A$7:$E$49,5,FALSE),"")</f>
        <v/>
      </c>
      <c r="D791" s="72" t="str">
        <f>IF(A791&lt;&gt;"",VLOOKUP(A791,'EDC - PRODUCTION'!$A$7:$I$49,4,FALSE),"")</f>
        <v/>
      </c>
      <c r="E791" s="44"/>
      <c r="F791" s="45" t="str">
        <f t="shared" si="38"/>
        <v/>
      </c>
      <c r="G791" s="56" t="str">
        <f t="shared" si="39"/>
        <v/>
      </c>
      <c r="H791" s="73"/>
      <c r="I791" s="73"/>
      <c r="J791" s="112" t="str">
        <f t="shared" si="40"/>
        <v/>
      </c>
      <c r="K791" s="68"/>
    </row>
    <row r="792" spans="1:11" x14ac:dyDescent="0.2">
      <c r="A792" s="108"/>
      <c r="B792" s="72" t="str">
        <f>IF(A792&lt;&gt;"",'EDC - PARAMETRAGE'!$A$3,"")</f>
        <v/>
      </c>
      <c r="C792" s="72" t="str">
        <f>IF(A792&lt;&gt;"",VLOOKUP(A792,'EDC - PRODUCTION'!$A$7:$E$49,5,FALSE),"")</f>
        <v/>
      </c>
      <c r="D792" s="72" t="str">
        <f>IF(A792&lt;&gt;"",VLOOKUP(A792,'EDC - PRODUCTION'!$A$7:$I$49,4,FALSE),"")</f>
        <v/>
      </c>
      <c r="E792" s="44"/>
      <c r="F792" s="45" t="str">
        <f t="shared" si="38"/>
        <v/>
      </c>
      <c r="G792" s="56" t="str">
        <f t="shared" si="39"/>
        <v/>
      </c>
      <c r="H792" s="73"/>
      <c r="I792" s="73"/>
      <c r="J792" s="112" t="str">
        <f t="shared" si="40"/>
        <v/>
      </c>
      <c r="K792" s="68"/>
    </row>
    <row r="793" spans="1:11" x14ac:dyDescent="0.2">
      <c r="A793" s="108"/>
      <c r="B793" s="72" t="str">
        <f>IF(A793&lt;&gt;"",'EDC - PARAMETRAGE'!$A$3,"")</f>
        <v/>
      </c>
      <c r="C793" s="72" t="str">
        <f>IF(A793&lt;&gt;"",VLOOKUP(A793,'EDC - PRODUCTION'!$A$7:$E$49,5,FALSE),"")</f>
        <v/>
      </c>
      <c r="D793" s="72" t="str">
        <f>IF(A793&lt;&gt;"",VLOOKUP(A793,'EDC - PRODUCTION'!$A$7:$I$49,4,FALSE),"")</f>
        <v/>
      </c>
      <c r="E793" s="44"/>
      <c r="F793" s="45" t="str">
        <f t="shared" si="38"/>
        <v/>
      </c>
      <c r="G793" s="56" t="str">
        <f t="shared" si="39"/>
        <v/>
      </c>
      <c r="H793" s="73"/>
      <c r="I793" s="73"/>
      <c r="J793" s="112" t="str">
        <f t="shared" si="40"/>
        <v/>
      </c>
      <c r="K793" s="68"/>
    </row>
    <row r="794" spans="1:11" x14ac:dyDescent="0.2">
      <c r="A794" s="108"/>
      <c r="B794" s="72" t="str">
        <f>IF(A794&lt;&gt;"",'EDC - PARAMETRAGE'!$A$3,"")</f>
        <v/>
      </c>
      <c r="C794" s="72" t="str">
        <f>IF(A794&lt;&gt;"",VLOOKUP(A794,'EDC - PRODUCTION'!$A$7:$E$49,5,FALSE),"")</f>
        <v/>
      </c>
      <c r="D794" s="72" t="str">
        <f>IF(A794&lt;&gt;"",VLOOKUP(A794,'EDC - PRODUCTION'!$A$7:$I$49,4,FALSE),"")</f>
        <v/>
      </c>
      <c r="E794" s="44"/>
      <c r="F794" s="45" t="str">
        <f t="shared" si="38"/>
        <v/>
      </c>
      <c r="G794" s="56" t="str">
        <f t="shared" si="39"/>
        <v/>
      </c>
      <c r="H794" s="73"/>
      <c r="I794" s="73"/>
      <c r="J794" s="112" t="str">
        <f t="shared" si="40"/>
        <v/>
      </c>
      <c r="K794" s="68"/>
    </row>
    <row r="795" spans="1:11" x14ac:dyDescent="0.2">
      <c r="A795" s="108"/>
      <c r="B795" s="72" t="str">
        <f>IF(A795&lt;&gt;"",'EDC - PARAMETRAGE'!$A$3,"")</f>
        <v/>
      </c>
      <c r="C795" s="72" t="str">
        <f>IF(A795&lt;&gt;"",VLOOKUP(A795,'EDC - PRODUCTION'!$A$7:$E$49,5,FALSE),"")</f>
        <v/>
      </c>
      <c r="D795" s="72" t="str">
        <f>IF(A795&lt;&gt;"",VLOOKUP(A795,'EDC - PRODUCTION'!$A$7:$I$49,4,FALSE),"")</f>
        <v/>
      </c>
      <c r="E795" s="44"/>
      <c r="F795" s="45" t="str">
        <f t="shared" si="38"/>
        <v/>
      </c>
      <c r="G795" s="56" t="str">
        <f t="shared" si="39"/>
        <v/>
      </c>
      <c r="H795" s="73"/>
      <c r="I795" s="73"/>
      <c r="J795" s="112" t="str">
        <f t="shared" si="40"/>
        <v/>
      </c>
      <c r="K795" s="68"/>
    </row>
    <row r="796" spans="1:11" x14ac:dyDescent="0.2">
      <c r="A796" s="108"/>
      <c r="B796" s="72" t="str">
        <f>IF(A796&lt;&gt;"",'EDC - PARAMETRAGE'!$A$3,"")</f>
        <v/>
      </c>
      <c r="C796" s="72" t="str">
        <f>IF(A796&lt;&gt;"",VLOOKUP(A796,'EDC - PRODUCTION'!$A$7:$E$49,5,FALSE),"")</f>
        <v/>
      </c>
      <c r="D796" s="72" t="str">
        <f>IF(A796&lt;&gt;"",VLOOKUP(A796,'EDC - PRODUCTION'!$A$7:$I$49,4,FALSE),"")</f>
        <v/>
      </c>
      <c r="E796" s="44"/>
      <c r="F796" s="45" t="str">
        <f t="shared" si="38"/>
        <v/>
      </c>
      <c r="G796" s="56" t="str">
        <f t="shared" si="39"/>
        <v/>
      </c>
      <c r="H796" s="73"/>
      <c r="I796" s="73"/>
      <c r="J796" s="112" t="str">
        <f t="shared" si="40"/>
        <v/>
      </c>
      <c r="K796" s="68"/>
    </row>
    <row r="797" spans="1:11" x14ac:dyDescent="0.2">
      <c r="A797" s="108"/>
      <c r="B797" s="72" t="str">
        <f>IF(A797&lt;&gt;"",'EDC - PARAMETRAGE'!$A$3,"")</f>
        <v/>
      </c>
      <c r="C797" s="72" t="str">
        <f>IF(A797&lt;&gt;"",VLOOKUP(A797,'EDC - PRODUCTION'!$A$7:$E$49,5,FALSE),"")</f>
        <v/>
      </c>
      <c r="D797" s="72" t="str">
        <f>IF(A797&lt;&gt;"",VLOOKUP(A797,'EDC - PRODUCTION'!$A$7:$I$49,4,FALSE),"")</f>
        <v/>
      </c>
      <c r="E797" s="44"/>
      <c r="F797" s="45" t="str">
        <f t="shared" si="38"/>
        <v/>
      </c>
      <c r="G797" s="56" t="str">
        <f t="shared" si="39"/>
        <v/>
      </c>
      <c r="H797" s="73"/>
      <c r="I797" s="73"/>
      <c r="J797" s="112" t="str">
        <f t="shared" si="40"/>
        <v/>
      </c>
      <c r="K797" s="68"/>
    </row>
    <row r="798" spans="1:11" x14ac:dyDescent="0.2">
      <c r="A798" s="108"/>
      <c r="B798" s="72" t="str">
        <f>IF(A798&lt;&gt;"",'EDC - PARAMETRAGE'!$A$3,"")</f>
        <v/>
      </c>
      <c r="C798" s="72" t="str">
        <f>IF(A798&lt;&gt;"",VLOOKUP(A798,'EDC - PRODUCTION'!$A$7:$E$49,5,FALSE),"")</f>
        <v/>
      </c>
      <c r="D798" s="72" t="str">
        <f>IF(A798&lt;&gt;"",VLOOKUP(A798,'EDC - PRODUCTION'!$A$7:$I$49,4,FALSE),"")</f>
        <v/>
      </c>
      <c r="E798" s="44"/>
      <c r="F798" s="45" t="str">
        <f t="shared" si="38"/>
        <v/>
      </c>
      <c r="G798" s="56" t="str">
        <f t="shared" si="39"/>
        <v/>
      </c>
      <c r="H798" s="73"/>
      <c r="I798" s="73"/>
      <c r="J798" s="112" t="str">
        <f t="shared" si="40"/>
        <v/>
      </c>
      <c r="K798" s="68"/>
    </row>
    <row r="799" spans="1:11" x14ac:dyDescent="0.2">
      <c r="A799" s="108"/>
      <c r="B799" s="72" t="str">
        <f>IF(A799&lt;&gt;"",'EDC - PARAMETRAGE'!$A$3,"")</f>
        <v/>
      </c>
      <c r="C799" s="72" t="str">
        <f>IF(A799&lt;&gt;"",VLOOKUP(A799,'EDC - PRODUCTION'!$A$7:$E$49,5,FALSE),"")</f>
        <v/>
      </c>
      <c r="D799" s="72" t="str">
        <f>IF(A799&lt;&gt;"",VLOOKUP(A799,'EDC - PRODUCTION'!$A$7:$I$49,4,FALSE),"")</f>
        <v/>
      </c>
      <c r="E799" s="44"/>
      <c r="F799" s="45" t="str">
        <f t="shared" si="38"/>
        <v/>
      </c>
      <c r="G799" s="56" t="str">
        <f t="shared" si="39"/>
        <v/>
      </c>
      <c r="H799" s="73"/>
      <c r="I799" s="73"/>
      <c r="J799" s="112" t="str">
        <f t="shared" si="40"/>
        <v/>
      </c>
      <c r="K799" s="68"/>
    </row>
    <row r="800" spans="1:11" x14ac:dyDescent="0.2">
      <c r="A800" s="108"/>
      <c r="B800" s="72" t="str">
        <f>IF(A800&lt;&gt;"",'EDC - PARAMETRAGE'!$A$3,"")</f>
        <v/>
      </c>
      <c r="C800" s="72" t="str">
        <f>IF(A800&lt;&gt;"",VLOOKUP(A800,'EDC - PRODUCTION'!$A$7:$E$49,5,FALSE),"")</f>
        <v/>
      </c>
      <c r="D800" s="72" t="str">
        <f>IF(A800&lt;&gt;"",VLOOKUP(A800,'EDC - PRODUCTION'!$A$7:$I$49,4,FALSE),"")</f>
        <v/>
      </c>
      <c r="E800" s="44"/>
      <c r="F800" s="45" t="str">
        <f t="shared" si="38"/>
        <v/>
      </c>
      <c r="G800" s="56" t="str">
        <f t="shared" si="39"/>
        <v/>
      </c>
      <c r="H800" s="73"/>
      <c r="I800" s="73"/>
      <c r="J800" s="112" t="str">
        <f t="shared" si="40"/>
        <v/>
      </c>
      <c r="K800" s="68"/>
    </row>
    <row r="801" spans="1:11" x14ac:dyDescent="0.2">
      <c r="A801" s="108"/>
      <c r="B801" s="72" t="str">
        <f>IF(A801&lt;&gt;"",'EDC - PARAMETRAGE'!$A$3,"")</f>
        <v/>
      </c>
      <c r="C801" s="72" t="str">
        <f>IF(A801&lt;&gt;"",VLOOKUP(A801,'EDC - PRODUCTION'!$A$7:$E$49,5,FALSE),"")</f>
        <v/>
      </c>
      <c r="D801" s="72" t="str">
        <f>IF(A801&lt;&gt;"",VLOOKUP(A801,'EDC - PRODUCTION'!$A$7:$I$49,4,FALSE),"")</f>
        <v/>
      </c>
      <c r="E801" s="44"/>
      <c r="F801" s="45" t="str">
        <f t="shared" si="38"/>
        <v/>
      </c>
      <c r="G801" s="56" t="str">
        <f t="shared" si="39"/>
        <v/>
      </c>
      <c r="H801" s="73"/>
      <c r="I801" s="73"/>
      <c r="J801" s="112" t="str">
        <f t="shared" si="40"/>
        <v/>
      </c>
      <c r="K801" s="68"/>
    </row>
    <row r="802" spans="1:11" x14ac:dyDescent="0.2">
      <c r="A802" s="108"/>
      <c r="B802" s="72" t="str">
        <f>IF(A802&lt;&gt;"",'EDC - PARAMETRAGE'!$A$3,"")</f>
        <v/>
      </c>
      <c r="C802" s="72" t="str">
        <f>IF(A802&lt;&gt;"",VLOOKUP(A802,'EDC - PRODUCTION'!$A$7:$E$49,5,FALSE),"")</f>
        <v/>
      </c>
      <c r="D802" s="72" t="str">
        <f>IF(A802&lt;&gt;"",VLOOKUP(A802,'EDC - PRODUCTION'!$A$7:$I$49,4,FALSE),"")</f>
        <v/>
      </c>
      <c r="E802" s="44"/>
      <c r="F802" s="45" t="str">
        <f t="shared" si="38"/>
        <v/>
      </c>
      <c r="G802" s="56" t="str">
        <f t="shared" si="39"/>
        <v/>
      </c>
      <c r="H802" s="73"/>
      <c r="I802" s="73"/>
      <c r="J802" s="112" t="str">
        <f t="shared" si="40"/>
        <v/>
      </c>
      <c r="K802" s="68"/>
    </row>
    <row r="803" spans="1:11" x14ac:dyDescent="0.2">
      <c r="A803" s="108"/>
      <c r="B803" s="72" t="str">
        <f>IF(A803&lt;&gt;"",'EDC - PARAMETRAGE'!$A$3,"")</f>
        <v/>
      </c>
      <c r="C803" s="72" t="str">
        <f>IF(A803&lt;&gt;"",VLOOKUP(A803,'EDC - PRODUCTION'!$A$7:$E$49,5,FALSE),"")</f>
        <v/>
      </c>
      <c r="D803" s="72" t="str">
        <f>IF(A803&lt;&gt;"",VLOOKUP(A803,'EDC - PRODUCTION'!$A$7:$I$49,4,FALSE),"")</f>
        <v/>
      </c>
      <c r="E803" s="44"/>
      <c r="F803" s="45" t="str">
        <f t="shared" si="38"/>
        <v/>
      </c>
      <c r="G803" s="56" t="str">
        <f t="shared" si="39"/>
        <v/>
      </c>
      <c r="H803" s="73"/>
      <c r="I803" s="73"/>
      <c r="J803" s="112" t="str">
        <f t="shared" si="40"/>
        <v/>
      </c>
      <c r="K803" s="68"/>
    </row>
    <row r="804" spans="1:11" x14ac:dyDescent="0.2">
      <c r="A804" s="108"/>
      <c r="B804" s="72" t="str">
        <f>IF(A804&lt;&gt;"",'EDC - PARAMETRAGE'!$A$3,"")</f>
        <v/>
      </c>
      <c r="C804" s="72" t="str">
        <f>IF(A804&lt;&gt;"",VLOOKUP(A804,'EDC - PRODUCTION'!$A$7:$E$49,5,FALSE),"")</f>
        <v/>
      </c>
      <c r="D804" s="72" t="str">
        <f>IF(A804&lt;&gt;"",VLOOKUP(A804,'EDC - PRODUCTION'!$A$7:$I$49,4,FALSE),"")</f>
        <v/>
      </c>
      <c r="E804" s="44"/>
      <c r="F804" s="45" t="str">
        <f t="shared" si="38"/>
        <v/>
      </c>
      <c r="G804" s="56" t="str">
        <f t="shared" si="39"/>
        <v/>
      </c>
      <c r="H804" s="73"/>
      <c r="I804" s="73"/>
      <c r="J804" s="112" t="str">
        <f t="shared" si="40"/>
        <v/>
      </c>
      <c r="K804" s="68"/>
    </row>
    <row r="805" spans="1:11" x14ac:dyDescent="0.2">
      <c r="A805" s="108"/>
      <c r="B805" s="72" t="str">
        <f>IF(A805&lt;&gt;"",'EDC - PARAMETRAGE'!$A$3,"")</f>
        <v/>
      </c>
      <c r="C805" s="72" t="str">
        <f>IF(A805&lt;&gt;"",VLOOKUP(A805,'EDC - PRODUCTION'!$A$7:$E$49,5,FALSE),"")</f>
        <v/>
      </c>
      <c r="D805" s="72" t="str">
        <f>IF(A805&lt;&gt;"",VLOOKUP(A805,'EDC - PRODUCTION'!$A$7:$I$49,4,FALSE),"")</f>
        <v/>
      </c>
      <c r="E805" s="44"/>
      <c r="F805" s="45" t="str">
        <f t="shared" si="38"/>
        <v/>
      </c>
      <c r="G805" s="56" t="str">
        <f t="shared" si="39"/>
        <v/>
      </c>
      <c r="H805" s="73"/>
      <c r="I805" s="73"/>
      <c r="J805" s="112" t="str">
        <f t="shared" si="40"/>
        <v/>
      </c>
      <c r="K805" s="68"/>
    </row>
    <row r="806" spans="1:11" x14ac:dyDescent="0.2">
      <c r="A806" s="108"/>
      <c r="B806" s="72" t="str">
        <f>IF(A806&lt;&gt;"",'EDC - PARAMETRAGE'!$A$3,"")</f>
        <v/>
      </c>
      <c r="C806" s="72" t="str">
        <f>IF(A806&lt;&gt;"",VLOOKUP(A806,'EDC - PRODUCTION'!$A$7:$E$49,5,FALSE),"")</f>
        <v/>
      </c>
      <c r="D806" s="72" t="str">
        <f>IF(A806&lt;&gt;"",VLOOKUP(A806,'EDC - PRODUCTION'!$A$7:$I$49,4,FALSE),"")</f>
        <v/>
      </c>
      <c r="E806" s="44"/>
      <c r="F806" s="45" t="str">
        <f t="shared" si="38"/>
        <v/>
      </c>
      <c r="G806" s="56" t="str">
        <f t="shared" si="39"/>
        <v/>
      </c>
      <c r="H806" s="73"/>
      <c r="I806" s="73"/>
      <c r="J806" s="112" t="str">
        <f t="shared" si="40"/>
        <v/>
      </c>
      <c r="K806" s="68"/>
    </row>
    <row r="807" spans="1:11" x14ac:dyDescent="0.2">
      <c r="A807" s="108"/>
      <c r="B807" s="72" t="str">
        <f>IF(A807&lt;&gt;"",'EDC - PARAMETRAGE'!$A$3,"")</f>
        <v/>
      </c>
      <c r="C807" s="72" t="str">
        <f>IF(A807&lt;&gt;"",VLOOKUP(A807,'EDC - PRODUCTION'!$A$7:$E$49,5,FALSE),"")</f>
        <v/>
      </c>
      <c r="D807" s="72" t="str">
        <f>IF(A807&lt;&gt;"",VLOOKUP(A807,'EDC - PRODUCTION'!$A$7:$I$49,4,FALSE),"")</f>
        <v/>
      </c>
      <c r="E807" s="44"/>
      <c r="F807" s="45" t="str">
        <f t="shared" si="38"/>
        <v/>
      </c>
      <c r="G807" s="56" t="str">
        <f t="shared" si="39"/>
        <v/>
      </c>
      <c r="H807" s="73"/>
      <c r="I807" s="73"/>
      <c r="J807" s="112" t="str">
        <f t="shared" si="40"/>
        <v/>
      </c>
      <c r="K807" s="68"/>
    </row>
    <row r="808" spans="1:11" x14ac:dyDescent="0.2">
      <c r="A808" s="108"/>
      <c r="B808" s="72" t="str">
        <f>IF(A808&lt;&gt;"",'EDC - PARAMETRAGE'!$A$3,"")</f>
        <v/>
      </c>
      <c r="C808" s="72" t="str">
        <f>IF(A808&lt;&gt;"",VLOOKUP(A808,'EDC - PRODUCTION'!$A$7:$E$49,5,FALSE),"")</f>
        <v/>
      </c>
      <c r="D808" s="72" t="str">
        <f>IF(A808&lt;&gt;"",VLOOKUP(A808,'EDC - PRODUCTION'!$A$7:$I$49,4,FALSE),"")</f>
        <v/>
      </c>
      <c r="E808" s="44"/>
      <c r="F808" s="45" t="str">
        <f t="shared" si="38"/>
        <v/>
      </c>
      <c r="G808" s="56" t="str">
        <f t="shared" si="39"/>
        <v/>
      </c>
      <c r="H808" s="73"/>
      <c r="I808" s="73"/>
      <c r="J808" s="112" t="str">
        <f t="shared" si="40"/>
        <v/>
      </c>
      <c r="K808" s="68"/>
    </row>
    <row r="809" spans="1:11" x14ac:dyDescent="0.2">
      <c r="A809" s="108"/>
      <c r="B809" s="72" t="str">
        <f>IF(A809&lt;&gt;"",'EDC - PARAMETRAGE'!$A$3,"")</f>
        <v/>
      </c>
      <c r="C809" s="72" t="str">
        <f>IF(A809&lt;&gt;"",VLOOKUP(A809,'EDC - PRODUCTION'!$A$7:$E$49,5,FALSE),"")</f>
        <v/>
      </c>
      <c r="D809" s="72" t="str">
        <f>IF(A809&lt;&gt;"",VLOOKUP(A809,'EDC - PRODUCTION'!$A$7:$I$49,4,FALSE),"")</f>
        <v/>
      </c>
      <c r="E809" s="44"/>
      <c r="F809" s="45" t="str">
        <f t="shared" si="38"/>
        <v/>
      </c>
      <c r="G809" s="56" t="str">
        <f t="shared" si="39"/>
        <v/>
      </c>
      <c r="H809" s="73"/>
      <c r="I809" s="73"/>
      <c r="J809" s="112" t="str">
        <f t="shared" si="40"/>
        <v/>
      </c>
      <c r="K809" s="68"/>
    </row>
    <row r="810" spans="1:11" x14ac:dyDescent="0.2">
      <c r="A810" s="108"/>
      <c r="B810" s="72" t="str">
        <f>IF(A810&lt;&gt;"",'EDC - PARAMETRAGE'!$A$3,"")</f>
        <v/>
      </c>
      <c r="C810" s="72" t="str">
        <f>IF(A810&lt;&gt;"",VLOOKUP(A810,'EDC - PRODUCTION'!$A$7:$E$49,5,FALSE),"")</f>
        <v/>
      </c>
      <c r="D810" s="72" t="str">
        <f>IF(A810&lt;&gt;"",VLOOKUP(A810,'EDC - PRODUCTION'!$A$7:$I$49,4,FALSE),"")</f>
        <v/>
      </c>
      <c r="E810" s="44"/>
      <c r="F810" s="45" t="str">
        <f t="shared" si="38"/>
        <v/>
      </c>
      <c r="G810" s="56" t="str">
        <f t="shared" si="39"/>
        <v/>
      </c>
      <c r="H810" s="73"/>
      <c r="I810" s="73"/>
      <c r="J810" s="112" t="str">
        <f t="shared" si="40"/>
        <v/>
      </c>
      <c r="K810" s="68"/>
    </row>
    <row r="811" spans="1:11" x14ac:dyDescent="0.2">
      <c r="A811" s="108"/>
      <c r="B811" s="72" t="str">
        <f>IF(A811&lt;&gt;"",'EDC - PARAMETRAGE'!$A$3,"")</f>
        <v/>
      </c>
      <c r="C811" s="72" t="str">
        <f>IF(A811&lt;&gt;"",VLOOKUP(A811,'EDC - PRODUCTION'!$A$7:$E$49,5,FALSE),"")</f>
        <v/>
      </c>
      <c r="D811" s="72" t="str">
        <f>IF(A811&lt;&gt;"",VLOOKUP(A811,'EDC - PRODUCTION'!$A$7:$I$49,4,FALSE),"")</f>
        <v/>
      </c>
      <c r="E811" s="44"/>
      <c r="F811" s="45" t="str">
        <f t="shared" si="38"/>
        <v/>
      </c>
      <c r="G811" s="56" t="str">
        <f t="shared" si="39"/>
        <v/>
      </c>
      <c r="H811" s="73"/>
      <c r="I811" s="73"/>
      <c r="J811" s="112" t="str">
        <f t="shared" si="40"/>
        <v/>
      </c>
      <c r="K811" s="68"/>
    </row>
    <row r="812" spans="1:11" x14ac:dyDescent="0.2">
      <c r="A812" s="108"/>
      <c r="B812" s="72" t="str">
        <f>IF(A812&lt;&gt;"",'EDC - PARAMETRAGE'!$A$3,"")</f>
        <v/>
      </c>
      <c r="C812" s="72" t="str">
        <f>IF(A812&lt;&gt;"",VLOOKUP(A812,'EDC - PRODUCTION'!$A$7:$E$49,5,FALSE),"")</f>
        <v/>
      </c>
      <c r="D812" s="72" t="str">
        <f>IF(A812&lt;&gt;"",VLOOKUP(A812,'EDC - PRODUCTION'!$A$7:$I$49,4,FALSE),"")</f>
        <v/>
      </c>
      <c r="E812" s="44"/>
      <c r="F812" s="45" t="str">
        <f t="shared" si="38"/>
        <v/>
      </c>
      <c r="G812" s="56" t="str">
        <f t="shared" si="39"/>
        <v/>
      </c>
      <c r="H812" s="73"/>
      <c r="I812" s="73"/>
      <c r="J812" s="112" t="str">
        <f t="shared" si="40"/>
        <v/>
      </c>
      <c r="K812" s="68"/>
    </row>
    <row r="813" spans="1:11" x14ac:dyDescent="0.2">
      <c r="A813" s="108"/>
      <c r="B813" s="72" t="str">
        <f>IF(A813&lt;&gt;"",'EDC - PARAMETRAGE'!$A$3,"")</f>
        <v/>
      </c>
      <c r="C813" s="72" t="str">
        <f>IF(A813&lt;&gt;"",VLOOKUP(A813,'EDC - PRODUCTION'!$A$7:$E$49,5,FALSE),"")</f>
        <v/>
      </c>
      <c r="D813" s="72" t="str">
        <f>IF(A813&lt;&gt;"",VLOOKUP(A813,'EDC - PRODUCTION'!$A$7:$I$49,4,FALSE),"")</f>
        <v/>
      </c>
      <c r="E813" s="44"/>
      <c r="F813" s="45" t="str">
        <f t="shared" si="38"/>
        <v/>
      </c>
      <c r="G813" s="56" t="str">
        <f t="shared" si="39"/>
        <v/>
      </c>
      <c r="H813" s="73"/>
      <c r="I813" s="73"/>
      <c r="J813" s="112" t="str">
        <f t="shared" si="40"/>
        <v/>
      </c>
      <c r="K813" s="68"/>
    </row>
    <row r="814" spans="1:11" x14ac:dyDescent="0.2">
      <c r="A814" s="108"/>
      <c r="B814" s="72" t="str">
        <f>IF(A814&lt;&gt;"",'EDC - PARAMETRAGE'!$A$3,"")</f>
        <v/>
      </c>
      <c r="C814" s="72" t="str">
        <f>IF(A814&lt;&gt;"",VLOOKUP(A814,'EDC - PRODUCTION'!$A$7:$E$49,5,FALSE),"")</f>
        <v/>
      </c>
      <c r="D814" s="72" t="str">
        <f>IF(A814&lt;&gt;"",VLOOKUP(A814,'EDC - PRODUCTION'!$A$7:$I$49,4,FALSE),"")</f>
        <v/>
      </c>
      <c r="E814" s="44"/>
      <c r="F814" s="45" t="str">
        <f t="shared" si="38"/>
        <v/>
      </c>
      <c r="G814" s="56" t="str">
        <f t="shared" si="39"/>
        <v/>
      </c>
      <c r="H814" s="73"/>
      <c r="I814" s="73"/>
      <c r="J814" s="112" t="str">
        <f t="shared" si="40"/>
        <v/>
      </c>
      <c r="K814" s="68"/>
    </row>
    <row r="815" spans="1:11" x14ac:dyDescent="0.2">
      <c r="A815" s="108"/>
      <c r="B815" s="72" t="str">
        <f>IF(A815&lt;&gt;"",'EDC - PARAMETRAGE'!$A$3,"")</f>
        <v/>
      </c>
      <c r="C815" s="72" t="str">
        <f>IF(A815&lt;&gt;"",VLOOKUP(A815,'EDC - PRODUCTION'!$A$7:$E$49,5,FALSE),"")</f>
        <v/>
      </c>
      <c r="D815" s="72" t="str">
        <f>IF(A815&lt;&gt;"",VLOOKUP(A815,'EDC - PRODUCTION'!$A$7:$I$49,4,FALSE),"")</f>
        <v/>
      </c>
      <c r="E815" s="44"/>
      <c r="F815" s="45" t="str">
        <f t="shared" si="38"/>
        <v/>
      </c>
      <c r="G815" s="56" t="str">
        <f t="shared" si="39"/>
        <v/>
      </c>
      <c r="H815" s="73"/>
      <c r="I815" s="73"/>
      <c r="J815" s="112" t="str">
        <f t="shared" si="40"/>
        <v/>
      </c>
      <c r="K815" s="68"/>
    </row>
    <row r="816" spans="1:11" x14ac:dyDescent="0.2">
      <c r="A816" s="108"/>
      <c r="B816" s="72" t="str">
        <f>IF(A816&lt;&gt;"",'EDC - PARAMETRAGE'!$A$3,"")</f>
        <v/>
      </c>
      <c r="C816" s="72" t="str">
        <f>IF(A816&lt;&gt;"",VLOOKUP(A816,'EDC - PRODUCTION'!$A$7:$E$49,5,FALSE),"")</f>
        <v/>
      </c>
      <c r="D816" s="72" t="str">
        <f>IF(A816&lt;&gt;"",VLOOKUP(A816,'EDC - PRODUCTION'!$A$7:$I$49,4,FALSE),"")</f>
        <v/>
      </c>
      <c r="E816" s="44"/>
      <c r="F816" s="45" t="str">
        <f t="shared" si="38"/>
        <v/>
      </c>
      <c r="G816" s="56" t="str">
        <f t="shared" si="39"/>
        <v/>
      </c>
      <c r="H816" s="73"/>
      <c r="I816" s="73"/>
      <c r="J816" s="112" t="str">
        <f t="shared" si="40"/>
        <v/>
      </c>
      <c r="K816" s="68"/>
    </row>
    <row r="817" spans="1:11" x14ac:dyDescent="0.2">
      <c r="A817" s="108"/>
      <c r="B817" s="72" t="str">
        <f>IF(A817&lt;&gt;"",'EDC - PARAMETRAGE'!$A$3,"")</f>
        <v/>
      </c>
      <c r="C817" s="72" t="str">
        <f>IF(A817&lt;&gt;"",VLOOKUP(A817,'EDC - PRODUCTION'!$A$7:$E$49,5,FALSE),"")</f>
        <v/>
      </c>
      <c r="D817" s="72" t="str">
        <f>IF(A817&lt;&gt;"",VLOOKUP(A817,'EDC - PRODUCTION'!$A$7:$I$49,4,FALSE),"")</f>
        <v/>
      </c>
      <c r="E817" s="44"/>
      <c r="F817" s="45" t="str">
        <f t="shared" si="38"/>
        <v/>
      </c>
      <c r="G817" s="56" t="str">
        <f t="shared" si="39"/>
        <v/>
      </c>
      <c r="H817" s="73"/>
      <c r="I817" s="73"/>
      <c r="J817" s="112" t="str">
        <f t="shared" si="40"/>
        <v/>
      </c>
      <c r="K817" s="68"/>
    </row>
    <row r="818" spans="1:11" x14ac:dyDescent="0.2">
      <c r="A818" s="108"/>
      <c r="B818" s="72" t="str">
        <f>IF(A818&lt;&gt;"",'EDC - PARAMETRAGE'!$A$3,"")</f>
        <v/>
      </c>
      <c r="C818" s="72" t="str">
        <f>IF(A818&lt;&gt;"",VLOOKUP(A818,'EDC - PRODUCTION'!$A$7:$E$49,5,FALSE),"")</f>
        <v/>
      </c>
      <c r="D818" s="72" t="str">
        <f>IF(A818&lt;&gt;"",VLOOKUP(A818,'EDC - PRODUCTION'!$A$7:$I$49,4,FALSE),"")</f>
        <v/>
      </c>
      <c r="E818" s="44"/>
      <c r="F818" s="45" t="str">
        <f t="shared" si="38"/>
        <v/>
      </c>
      <c r="G818" s="56" t="str">
        <f t="shared" si="39"/>
        <v/>
      </c>
      <c r="H818" s="73"/>
      <c r="I818" s="73"/>
      <c r="J818" s="112" t="str">
        <f t="shared" si="40"/>
        <v/>
      </c>
      <c r="K818" s="68"/>
    </row>
    <row r="819" spans="1:11" x14ac:dyDescent="0.2">
      <c r="A819" s="108"/>
      <c r="B819" s="72" t="str">
        <f>IF(A819&lt;&gt;"",'EDC - PARAMETRAGE'!$A$3,"")</f>
        <v/>
      </c>
      <c r="C819" s="72" t="str">
        <f>IF(A819&lt;&gt;"",VLOOKUP(A819,'EDC - PRODUCTION'!$A$7:$E$49,5,FALSE),"")</f>
        <v/>
      </c>
      <c r="D819" s="72" t="str">
        <f>IF(A819&lt;&gt;"",VLOOKUP(A819,'EDC - PRODUCTION'!$A$7:$I$49,4,FALSE),"")</f>
        <v/>
      </c>
      <c r="E819" s="44"/>
      <c r="F819" s="45" t="str">
        <f t="shared" si="38"/>
        <v/>
      </c>
      <c r="G819" s="56" t="str">
        <f t="shared" si="39"/>
        <v/>
      </c>
      <c r="H819" s="73"/>
      <c r="I819" s="73"/>
      <c r="J819" s="112" t="str">
        <f t="shared" si="40"/>
        <v/>
      </c>
      <c r="K819" s="68"/>
    </row>
    <row r="820" spans="1:11" x14ac:dyDescent="0.2">
      <c r="A820" s="108"/>
      <c r="B820" s="72" t="str">
        <f>IF(A820&lt;&gt;"",'EDC - PARAMETRAGE'!$A$3,"")</f>
        <v/>
      </c>
      <c r="C820" s="72" t="str">
        <f>IF(A820&lt;&gt;"",VLOOKUP(A820,'EDC - PRODUCTION'!$A$7:$E$49,5,FALSE),"")</f>
        <v/>
      </c>
      <c r="D820" s="72" t="str">
        <f>IF(A820&lt;&gt;"",VLOOKUP(A820,'EDC - PRODUCTION'!$A$7:$I$49,4,FALSE),"")</f>
        <v/>
      </c>
      <c r="E820" s="44"/>
      <c r="F820" s="45" t="str">
        <f t="shared" si="38"/>
        <v/>
      </c>
      <c r="G820" s="56" t="str">
        <f t="shared" si="39"/>
        <v/>
      </c>
      <c r="H820" s="73"/>
      <c r="I820" s="73"/>
      <c r="J820" s="112" t="str">
        <f t="shared" si="40"/>
        <v/>
      </c>
      <c r="K820" s="68"/>
    </row>
    <row r="821" spans="1:11" x14ac:dyDescent="0.2">
      <c r="A821" s="108"/>
      <c r="B821" s="72" t="str">
        <f>IF(A821&lt;&gt;"",'EDC - PARAMETRAGE'!$A$3,"")</f>
        <v/>
      </c>
      <c r="C821" s="72" t="str">
        <f>IF(A821&lt;&gt;"",VLOOKUP(A821,'EDC - PRODUCTION'!$A$7:$E$49,5,FALSE),"")</f>
        <v/>
      </c>
      <c r="D821" s="72" t="str">
        <f>IF(A821&lt;&gt;"",VLOOKUP(A821,'EDC - PRODUCTION'!$A$7:$I$49,4,FALSE),"")</f>
        <v/>
      </c>
      <c r="E821" s="44"/>
      <c r="F821" s="45" t="str">
        <f t="shared" si="38"/>
        <v/>
      </c>
      <c r="G821" s="56" t="str">
        <f t="shared" si="39"/>
        <v/>
      </c>
      <c r="H821" s="73"/>
      <c r="I821" s="73"/>
      <c r="J821" s="112" t="str">
        <f t="shared" si="40"/>
        <v/>
      </c>
      <c r="K821" s="68"/>
    </row>
    <row r="822" spans="1:11" x14ac:dyDescent="0.2">
      <c r="A822" s="108"/>
      <c r="B822" s="72" t="str">
        <f>IF(A822&lt;&gt;"",'EDC - PARAMETRAGE'!$A$3,"")</f>
        <v/>
      </c>
      <c r="C822" s="72" t="str">
        <f>IF(A822&lt;&gt;"",VLOOKUP(A822,'EDC - PRODUCTION'!$A$7:$E$49,5,FALSE),"")</f>
        <v/>
      </c>
      <c r="D822" s="72" t="str">
        <f>IF(A822&lt;&gt;"",VLOOKUP(A822,'EDC - PRODUCTION'!$A$7:$I$49,4,FALSE),"")</f>
        <v/>
      </c>
      <c r="E822" s="44"/>
      <c r="F822" s="45" t="str">
        <f t="shared" si="38"/>
        <v/>
      </c>
      <c r="G822" s="56" t="str">
        <f t="shared" si="39"/>
        <v/>
      </c>
      <c r="H822" s="73"/>
      <c r="I822" s="73"/>
      <c r="J822" s="112" t="str">
        <f t="shared" si="40"/>
        <v/>
      </c>
      <c r="K822" s="68"/>
    </row>
    <row r="823" spans="1:11" x14ac:dyDescent="0.2">
      <c r="A823" s="108"/>
      <c r="B823" s="72" t="str">
        <f>IF(A823&lt;&gt;"",'EDC - PARAMETRAGE'!$A$3,"")</f>
        <v/>
      </c>
      <c r="C823" s="72" t="str">
        <f>IF(A823&lt;&gt;"",VLOOKUP(A823,'EDC - PRODUCTION'!$A$7:$E$49,5,FALSE),"")</f>
        <v/>
      </c>
      <c r="D823" s="72" t="str">
        <f>IF(A823&lt;&gt;"",VLOOKUP(A823,'EDC - PRODUCTION'!$A$7:$I$49,4,FALSE),"")</f>
        <v/>
      </c>
      <c r="E823" s="44"/>
      <c r="F823" s="45" t="str">
        <f t="shared" si="38"/>
        <v/>
      </c>
      <c r="G823" s="56" t="str">
        <f t="shared" si="39"/>
        <v/>
      </c>
      <c r="H823" s="73"/>
      <c r="I823" s="73"/>
      <c r="J823" s="112" t="str">
        <f t="shared" si="40"/>
        <v/>
      </c>
      <c r="K823" s="68"/>
    </row>
    <row r="824" spans="1:11" x14ac:dyDescent="0.2">
      <c r="A824" s="108"/>
      <c r="B824" s="72" t="str">
        <f>IF(A824&lt;&gt;"",'EDC - PARAMETRAGE'!$A$3,"")</f>
        <v/>
      </c>
      <c r="C824" s="72" t="str">
        <f>IF(A824&lt;&gt;"",VLOOKUP(A824,'EDC - PRODUCTION'!$A$7:$E$49,5,FALSE),"")</f>
        <v/>
      </c>
      <c r="D824" s="72" t="str">
        <f>IF(A824&lt;&gt;"",VLOOKUP(A824,'EDC - PRODUCTION'!$A$7:$I$49,4,FALSE),"")</f>
        <v/>
      </c>
      <c r="E824" s="44"/>
      <c r="F824" s="45" t="str">
        <f t="shared" si="38"/>
        <v/>
      </c>
      <c r="G824" s="56" t="str">
        <f t="shared" si="39"/>
        <v/>
      </c>
      <c r="H824" s="73"/>
      <c r="I824" s="73"/>
      <c r="J824" s="112" t="str">
        <f t="shared" si="40"/>
        <v/>
      </c>
      <c r="K824" s="68"/>
    </row>
    <row r="825" spans="1:11" x14ac:dyDescent="0.2">
      <c r="A825" s="108"/>
      <c r="B825" s="72" t="str">
        <f>IF(A825&lt;&gt;"",'EDC - PARAMETRAGE'!$A$3,"")</f>
        <v/>
      </c>
      <c r="C825" s="72" t="str">
        <f>IF(A825&lt;&gt;"",VLOOKUP(A825,'EDC - PRODUCTION'!$A$7:$E$49,5,FALSE),"")</f>
        <v/>
      </c>
      <c r="D825" s="72" t="str">
        <f>IF(A825&lt;&gt;"",VLOOKUP(A825,'EDC - PRODUCTION'!$A$7:$I$49,4,FALSE),"")</f>
        <v/>
      </c>
      <c r="E825" s="44"/>
      <c r="F825" s="45" t="str">
        <f t="shared" si="38"/>
        <v/>
      </c>
      <c r="G825" s="56" t="str">
        <f t="shared" si="39"/>
        <v/>
      </c>
      <c r="H825" s="73"/>
      <c r="I825" s="73"/>
      <c r="J825" s="112" t="str">
        <f t="shared" si="40"/>
        <v/>
      </c>
      <c r="K825" s="68"/>
    </row>
    <row r="826" spans="1:11" x14ac:dyDescent="0.2">
      <c r="A826" s="108"/>
      <c r="B826" s="72" t="str">
        <f>IF(A826&lt;&gt;"",'EDC - PARAMETRAGE'!$A$3,"")</f>
        <v/>
      </c>
      <c r="C826" s="72" t="str">
        <f>IF(A826&lt;&gt;"",VLOOKUP(A826,'EDC - PRODUCTION'!$A$7:$E$49,5,FALSE),"")</f>
        <v/>
      </c>
      <c r="D826" s="72" t="str">
        <f>IF(A826&lt;&gt;"",VLOOKUP(A826,'EDC - PRODUCTION'!$A$7:$I$49,4,FALSE),"")</f>
        <v/>
      </c>
      <c r="E826" s="44"/>
      <c r="F826" s="45" t="str">
        <f t="shared" si="38"/>
        <v/>
      </c>
      <c r="G826" s="56" t="str">
        <f t="shared" si="39"/>
        <v/>
      </c>
      <c r="H826" s="73"/>
      <c r="I826" s="73"/>
      <c r="J826" s="112" t="str">
        <f t="shared" si="40"/>
        <v/>
      </c>
      <c r="K826" s="68"/>
    </row>
    <row r="827" spans="1:11" x14ac:dyDescent="0.2">
      <c r="A827" s="108"/>
      <c r="B827" s="72" t="str">
        <f>IF(A827&lt;&gt;"",'EDC - PARAMETRAGE'!$A$3,"")</f>
        <v/>
      </c>
      <c r="C827" s="72" t="str">
        <f>IF(A827&lt;&gt;"",VLOOKUP(A827,'EDC - PRODUCTION'!$A$7:$E$49,5,FALSE),"")</f>
        <v/>
      </c>
      <c r="D827" s="72" t="str">
        <f>IF(A827&lt;&gt;"",VLOOKUP(A827,'EDC - PRODUCTION'!$A$7:$I$49,4,FALSE),"")</f>
        <v/>
      </c>
      <c r="E827" s="44"/>
      <c r="F827" s="45" t="str">
        <f t="shared" si="38"/>
        <v/>
      </c>
      <c r="G827" s="56" t="str">
        <f t="shared" si="39"/>
        <v/>
      </c>
      <c r="H827" s="73"/>
      <c r="I827" s="73"/>
      <c r="J827" s="112" t="str">
        <f t="shared" si="40"/>
        <v/>
      </c>
      <c r="K827" s="68"/>
    </row>
    <row r="828" spans="1:11" x14ac:dyDescent="0.2">
      <c r="A828" s="108"/>
      <c r="B828" s="72" t="str">
        <f>IF(A828&lt;&gt;"",'EDC - PARAMETRAGE'!$A$3,"")</f>
        <v/>
      </c>
      <c r="C828" s="72" t="str">
        <f>IF(A828&lt;&gt;"",VLOOKUP(A828,'EDC - PRODUCTION'!$A$7:$E$49,5,FALSE),"")</f>
        <v/>
      </c>
      <c r="D828" s="72" t="str">
        <f>IF(A828&lt;&gt;"",VLOOKUP(A828,'EDC - PRODUCTION'!$A$7:$I$49,4,FALSE),"")</f>
        <v/>
      </c>
      <c r="E828" s="44"/>
      <c r="F828" s="45" t="str">
        <f t="shared" si="38"/>
        <v/>
      </c>
      <c r="G828" s="56" t="str">
        <f t="shared" si="39"/>
        <v/>
      </c>
      <c r="H828" s="73"/>
      <c r="I828" s="73"/>
      <c r="J828" s="112" t="str">
        <f t="shared" si="40"/>
        <v/>
      </c>
      <c r="K828" s="68"/>
    </row>
    <row r="829" spans="1:11" x14ac:dyDescent="0.2">
      <c r="A829" s="108"/>
      <c r="B829" s="72" t="str">
        <f>IF(A829&lt;&gt;"",'EDC - PARAMETRAGE'!$A$3,"")</f>
        <v/>
      </c>
      <c r="C829" s="72" t="str">
        <f>IF(A829&lt;&gt;"",VLOOKUP(A829,'EDC - PRODUCTION'!$A$7:$E$49,5,FALSE),"")</f>
        <v/>
      </c>
      <c r="D829" s="72" t="str">
        <f>IF(A829&lt;&gt;"",VLOOKUP(A829,'EDC - PRODUCTION'!$A$7:$I$49,4,FALSE),"")</f>
        <v/>
      </c>
      <c r="E829" s="44"/>
      <c r="F829" s="45" t="str">
        <f t="shared" si="38"/>
        <v/>
      </c>
      <c r="G829" s="56" t="str">
        <f t="shared" si="39"/>
        <v/>
      </c>
      <c r="H829" s="73"/>
      <c r="I829" s="73"/>
      <c r="J829" s="112" t="str">
        <f t="shared" si="40"/>
        <v/>
      </c>
      <c r="K829" s="68"/>
    </row>
    <row r="830" spans="1:11" x14ac:dyDescent="0.2">
      <c r="A830" s="108"/>
      <c r="B830" s="72" t="str">
        <f>IF(A830&lt;&gt;"",'EDC - PARAMETRAGE'!$A$3,"")</f>
        <v/>
      </c>
      <c r="C830" s="72" t="str">
        <f>IF(A830&lt;&gt;"",VLOOKUP(A830,'EDC - PRODUCTION'!$A$7:$E$49,5,FALSE),"")</f>
        <v/>
      </c>
      <c r="D830" s="72" t="str">
        <f>IF(A830&lt;&gt;"",VLOOKUP(A830,'EDC - PRODUCTION'!$A$7:$I$49,4,FALSE),"")</f>
        <v/>
      </c>
      <c r="E830" s="44"/>
      <c r="F830" s="45" t="str">
        <f t="shared" si="38"/>
        <v/>
      </c>
      <c r="G830" s="56" t="str">
        <f t="shared" si="39"/>
        <v/>
      </c>
      <c r="H830" s="73"/>
      <c r="I830" s="73"/>
      <c r="J830" s="112" t="str">
        <f t="shared" si="40"/>
        <v/>
      </c>
      <c r="K830" s="68"/>
    </row>
    <row r="831" spans="1:11" x14ac:dyDescent="0.2">
      <c r="A831" s="108"/>
      <c r="B831" s="72" t="str">
        <f>IF(A831&lt;&gt;"",'EDC - PARAMETRAGE'!$A$3,"")</f>
        <v/>
      </c>
      <c r="C831" s="72" t="str">
        <f>IF(A831&lt;&gt;"",VLOOKUP(A831,'EDC - PRODUCTION'!$A$7:$E$49,5,FALSE),"")</f>
        <v/>
      </c>
      <c r="D831" s="72" t="str">
        <f>IF(A831&lt;&gt;"",VLOOKUP(A831,'EDC - PRODUCTION'!$A$7:$I$49,4,FALSE),"")</f>
        <v/>
      </c>
      <c r="E831" s="44"/>
      <c r="F831" s="45" t="str">
        <f t="shared" si="38"/>
        <v/>
      </c>
      <c r="G831" s="56" t="str">
        <f t="shared" si="39"/>
        <v/>
      </c>
      <c r="H831" s="73"/>
      <c r="I831" s="73"/>
      <c r="J831" s="112" t="str">
        <f t="shared" si="40"/>
        <v/>
      </c>
      <c r="K831" s="68"/>
    </row>
    <row r="832" spans="1:11" x14ac:dyDescent="0.2">
      <c r="A832" s="108"/>
      <c r="B832" s="72" t="str">
        <f>IF(A832&lt;&gt;"",'EDC - PARAMETRAGE'!$A$3,"")</f>
        <v/>
      </c>
      <c r="C832" s="72" t="str">
        <f>IF(A832&lt;&gt;"",VLOOKUP(A832,'EDC - PRODUCTION'!$A$7:$E$49,5,FALSE),"")</f>
        <v/>
      </c>
      <c r="D832" s="72" t="str">
        <f>IF(A832&lt;&gt;"",VLOOKUP(A832,'EDC - PRODUCTION'!$A$7:$I$49,4,FALSE),"")</f>
        <v/>
      </c>
      <c r="E832" s="44"/>
      <c r="F832" s="45" t="str">
        <f t="shared" si="38"/>
        <v/>
      </c>
      <c r="G832" s="56" t="str">
        <f t="shared" si="39"/>
        <v/>
      </c>
      <c r="H832" s="73"/>
      <c r="I832" s="73"/>
      <c r="J832" s="112" t="str">
        <f t="shared" si="40"/>
        <v/>
      </c>
      <c r="K832" s="68"/>
    </row>
    <row r="833" spans="1:11" x14ac:dyDescent="0.2">
      <c r="A833" s="108"/>
      <c r="B833" s="72" t="str">
        <f>IF(A833&lt;&gt;"",'EDC - PARAMETRAGE'!$A$3,"")</f>
        <v/>
      </c>
      <c r="C833" s="72" t="str">
        <f>IF(A833&lt;&gt;"",VLOOKUP(A833,'EDC - PRODUCTION'!$A$7:$E$49,5,FALSE),"")</f>
        <v/>
      </c>
      <c r="D833" s="72" t="str">
        <f>IF(A833&lt;&gt;"",VLOOKUP(A833,'EDC - PRODUCTION'!$A$7:$I$49,4,FALSE),"")</f>
        <v/>
      </c>
      <c r="E833" s="44"/>
      <c r="F833" s="45" t="str">
        <f t="shared" si="38"/>
        <v/>
      </c>
      <c r="G833" s="56" t="str">
        <f t="shared" si="39"/>
        <v/>
      </c>
      <c r="H833" s="73"/>
      <c r="I833" s="73"/>
      <c r="J833" s="112" t="str">
        <f t="shared" si="40"/>
        <v/>
      </c>
      <c r="K833" s="68"/>
    </row>
    <row r="834" spans="1:11" x14ac:dyDescent="0.2">
      <c r="A834" s="108"/>
      <c r="B834" s="72" t="str">
        <f>IF(A834&lt;&gt;"",'EDC - PARAMETRAGE'!$A$3,"")</f>
        <v/>
      </c>
      <c r="C834" s="72" t="str">
        <f>IF(A834&lt;&gt;"",VLOOKUP(A834,'EDC - PRODUCTION'!$A$7:$E$49,5,FALSE),"")</f>
        <v/>
      </c>
      <c r="D834" s="72" t="str">
        <f>IF(A834&lt;&gt;"",VLOOKUP(A834,'EDC - PRODUCTION'!$A$7:$I$49,4,FALSE),"")</f>
        <v/>
      </c>
      <c r="E834" s="44"/>
      <c r="F834" s="45" t="str">
        <f t="shared" si="38"/>
        <v/>
      </c>
      <c r="G834" s="56" t="str">
        <f t="shared" si="39"/>
        <v/>
      </c>
      <c r="H834" s="73"/>
      <c r="I834" s="73"/>
      <c r="J834" s="112" t="str">
        <f t="shared" si="40"/>
        <v/>
      </c>
      <c r="K834" s="68"/>
    </row>
    <row r="835" spans="1:11" x14ac:dyDescent="0.2">
      <c r="A835" s="108"/>
      <c r="B835" s="72" t="str">
        <f>IF(A835&lt;&gt;"",'EDC - PARAMETRAGE'!$A$3,"")</f>
        <v/>
      </c>
      <c r="C835" s="72" t="str">
        <f>IF(A835&lt;&gt;"",VLOOKUP(A835,'EDC - PRODUCTION'!$A$7:$E$49,5,FALSE),"")</f>
        <v/>
      </c>
      <c r="D835" s="72" t="str">
        <f>IF(A835&lt;&gt;"",VLOOKUP(A835,'EDC - PRODUCTION'!$A$7:$I$49,4,FALSE),"")</f>
        <v/>
      </c>
      <c r="E835" s="44"/>
      <c r="F835" s="45" t="str">
        <f t="shared" si="38"/>
        <v/>
      </c>
      <c r="G835" s="56" t="str">
        <f t="shared" si="39"/>
        <v/>
      </c>
      <c r="H835" s="73"/>
      <c r="I835" s="73"/>
      <c r="J835" s="112" t="str">
        <f t="shared" si="40"/>
        <v/>
      </c>
      <c r="K835" s="68"/>
    </row>
    <row r="836" spans="1:11" x14ac:dyDescent="0.2">
      <c r="A836" s="108"/>
      <c r="B836" s="72" t="str">
        <f>IF(A836&lt;&gt;"",'EDC - PARAMETRAGE'!$A$3,"")</f>
        <v/>
      </c>
      <c r="C836" s="72" t="str">
        <f>IF(A836&lt;&gt;"",VLOOKUP(A836,'EDC - PRODUCTION'!$A$7:$E$49,5,FALSE),"")</f>
        <v/>
      </c>
      <c r="D836" s="72" t="str">
        <f>IF(A836&lt;&gt;"",VLOOKUP(A836,'EDC - PRODUCTION'!$A$7:$I$49,4,FALSE),"")</f>
        <v/>
      </c>
      <c r="E836" s="44"/>
      <c r="F836" s="45" t="str">
        <f t="shared" ref="F836:F899" si="41">IF(A836&lt;&gt;"","DDE","")</f>
        <v/>
      </c>
      <c r="G836" s="56" t="str">
        <f t="shared" ref="G836:G899" si="42">IF(A836&lt;&gt;"",1,"")</f>
        <v/>
      </c>
      <c r="H836" s="73"/>
      <c r="I836" s="73"/>
      <c r="J836" s="112" t="str">
        <f t="shared" ref="J836:J899" si="43">IF(A836&lt;&gt;"",SUM(H836:I836),"")</f>
        <v/>
      </c>
      <c r="K836" s="68"/>
    </row>
    <row r="837" spans="1:11" x14ac:dyDescent="0.2">
      <c r="A837" s="108"/>
      <c r="B837" s="72" t="str">
        <f>IF(A837&lt;&gt;"",'EDC - PARAMETRAGE'!$A$3,"")</f>
        <v/>
      </c>
      <c r="C837" s="72" t="str">
        <f>IF(A837&lt;&gt;"",VLOOKUP(A837,'EDC - PRODUCTION'!$A$7:$E$49,5,FALSE),"")</f>
        <v/>
      </c>
      <c r="D837" s="72" t="str">
        <f>IF(A837&lt;&gt;"",VLOOKUP(A837,'EDC - PRODUCTION'!$A$7:$I$49,4,FALSE),"")</f>
        <v/>
      </c>
      <c r="E837" s="44"/>
      <c r="F837" s="45" t="str">
        <f t="shared" si="41"/>
        <v/>
      </c>
      <c r="G837" s="56" t="str">
        <f t="shared" si="42"/>
        <v/>
      </c>
      <c r="H837" s="73"/>
      <c r="I837" s="73"/>
      <c r="J837" s="112" t="str">
        <f t="shared" si="43"/>
        <v/>
      </c>
      <c r="K837" s="68"/>
    </row>
    <row r="838" spans="1:11" x14ac:dyDescent="0.2">
      <c r="A838" s="108"/>
      <c r="B838" s="72" t="str">
        <f>IF(A838&lt;&gt;"",'EDC - PARAMETRAGE'!$A$3,"")</f>
        <v/>
      </c>
      <c r="C838" s="72" t="str">
        <f>IF(A838&lt;&gt;"",VLOOKUP(A838,'EDC - PRODUCTION'!$A$7:$E$49,5,FALSE),"")</f>
        <v/>
      </c>
      <c r="D838" s="72" t="str">
        <f>IF(A838&lt;&gt;"",VLOOKUP(A838,'EDC - PRODUCTION'!$A$7:$I$49,4,FALSE),"")</f>
        <v/>
      </c>
      <c r="E838" s="44"/>
      <c r="F838" s="45" t="str">
        <f t="shared" si="41"/>
        <v/>
      </c>
      <c r="G838" s="56" t="str">
        <f t="shared" si="42"/>
        <v/>
      </c>
      <c r="H838" s="73"/>
      <c r="I838" s="73"/>
      <c r="J838" s="112" t="str">
        <f t="shared" si="43"/>
        <v/>
      </c>
      <c r="K838" s="68"/>
    </row>
    <row r="839" spans="1:11" x14ac:dyDescent="0.2">
      <c r="A839" s="108"/>
      <c r="B839" s="72" t="str">
        <f>IF(A839&lt;&gt;"",'EDC - PARAMETRAGE'!$A$3,"")</f>
        <v/>
      </c>
      <c r="C839" s="72" t="str">
        <f>IF(A839&lt;&gt;"",VLOOKUP(A839,'EDC - PRODUCTION'!$A$7:$E$49,5,FALSE),"")</f>
        <v/>
      </c>
      <c r="D839" s="72" t="str">
        <f>IF(A839&lt;&gt;"",VLOOKUP(A839,'EDC - PRODUCTION'!$A$7:$I$49,4,FALSE),"")</f>
        <v/>
      </c>
      <c r="E839" s="44"/>
      <c r="F839" s="45" t="str">
        <f t="shared" si="41"/>
        <v/>
      </c>
      <c r="G839" s="56" t="str">
        <f t="shared" si="42"/>
        <v/>
      </c>
      <c r="H839" s="73"/>
      <c r="I839" s="73"/>
      <c r="J839" s="112" t="str">
        <f t="shared" si="43"/>
        <v/>
      </c>
      <c r="K839" s="68"/>
    </row>
    <row r="840" spans="1:11" x14ac:dyDescent="0.2">
      <c r="A840" s="108"/>
      <c r="B840" s="72" t="str">
        <f>IF(A840&lt;&gt;"",'EDC - PARAMETRAGE'!$A$3,"")</f>
        <v/>
      </c>
      <c r="C840" s="72" t="str">
        <f>IF(A840&lt;&gt;"",VLOOKUP(A840,'EDC - PRODUCTION'!$A$7:$E$49,5,FALSE),"")</f>
        <v/>
      </c>
      <c r="D840" s="72" t="str">
        <f>IF(A840&lt;&gt;"",VLOOKUP(A840,'EDC - PRODUCTION'!$A$7:$I$49,4,FALSE),"")</f>
        <v/>
      </c>
      <c r="E840" s="44"/>
      <c r="F840" s="45" t="str">
        <f t="shared" si="41"/>
        <v/>
      </c>
      <c r="G840" s="56" t="str">
        <f t="shared" si="42"/>
        <v/>
      </c>
      <c r="H840" s="73"/>
      <c r="I840" s="73"/>
      <c r="J840" s="112" t="str">
        <f t="shared" si="43"/>
        <v/>
      </c>
      <c r="K840" s="68"/>
    </row>
    <row r="841" spans="1:11" x14ac:dyDescent="0.2">
      <c r="A841" s="108"/>
      <c r="B841" s="72" t="str">
        <f>IF(A841&lt;&gt;"",'EDC - PARAMETRAGE'!$A$3,"")</f>
        <v/>
      </c>
      <c r="C841" s="72" t="str">
        <f>IF(A841&lt;&gt;"",VLOOKUP(A841,'EDC - PRODUCTION'!$A$7:$E$49,5,FALSE),"")</f>
        <v/>
      </c>
      <c r="D841" s="72" t="str">
        <f>IF(A841&lt;&gt;"",VLOOKUP(A841,'EDC - PRODUCTION'!$A$7:$I$49,4,FALSE),"")</f>
        <v/>
      </c>
      <c r="E841" s="44"/>
      <c r="F841" s="45" t="str">
        <f t="shared" si="41"/>
        <v/>
      </c>
      <c r="G841" s="56" t="str">
        <f t="shared" si="42"/>
        <v/>
      </c>
      <c r="H841" s="73"/>
      <c r="I841" s="73"/>
      <c r="J841" s="112" t="str">
        <f t="shared" si="43"/>
        <v/>
      </c>
      <c r="K841" s="68"/>
    </row>
    <row r="842" spans="1:11" x14ac:dyDescent="0.2">
      <c r="A842" s="108"/>
      <c r="B842" s="72" t="str">
        <f>IF(A842&lt;&gt;"",'EDC - PARAMETRAGE'!$A$3,"")</f>
        <v/>
      </c>
      <c r="C842" s="72" t="str">
        <f>IF(A842&lt;&gt;"",VLOOKUP(A842,'EDC - PRODUCTION'!$A$7:$E$49,5,FALSE),"")</f>
        <v/>
      </c>
      <c r="D842" s="72" t="str">
        <f>IF(A842&lt;&gt;"",VLOOKUP(A842,'EDC - PRODUCTION'!$A$7:$I$49,4,FALSE),"")</f>
        <v/>
      </c>
      <c r="E842" s="44"/>
      <c r="F842" s="45" t="str">
        <f t="shared" si="41"/>
        <v/>
      </c>
      <c r="G842" s="56" t="str">
        <f t="shared" si="42"/>
        <v/>
      </c>
      <c r="H842" s="73"/>
      <c r="I842" s="73"/>
      <c r="J842" s="112" t="str">
        <f t="shared" si="43"/>
        <v/>
      </c>
      <c r="K842" s="68"/>
    </row>
    <row r="843" spans="1:11" x14ac:dyDescent="0.2">
      <c r="A843" s="108"/>
      <c r="B843" s="72" t="str">
        <f>IF(A843&lt;&gt;"",'EDC - PARAMETRAGE'!$A$3,"")</f>
        <v/>
      </c>
      <c r="C843" s="72" t="str">
        <f>IF(A843&lt;&gt;"",VLOOKUP(A843,'EDC - PRODUCTION'!$A$7:$E$49,5,FALSE),"")</f>
        <v/>
      </c>
      <c r="D843" s="72" t="str">
        <f>IF(A843&lt;&gt;"",VLOOKUP(A843,'EDC - PRODUCTION'!$A$7:$I$49,4,FALSE),"")</f>
        <v/>
      </c>
      <c r="E843" s="44"/>
      <c r="F843" s="45" t="str">
        <f t="shared" si="41"/>
        <v/>
      </c>
      <c r="G843" s="56" t="str">
        <f t="shared" si="42"/>
        <v/>
      </c>
      <c r="H843" s="73"/>
      <c r="I843" s="73"/>
      <c r="J843" s="112" t="str">
        <f t="shared" si="43"/>
        <v/>
      </c>
      <c r="K843" s="68"/>
    </row>
    <row r="844" spans="1:11" x14ac:dyDescent="0.2">
      <c r="A844" s="108"/>
      <c r="B844" s="72" t="str">
        <f>IF(A844&lt;&gt;"",'EDC - PARAMETRAGE'!$A$3,"")</f>
        <v/>
      </c>
      <c r="C844" s="72" t="str">
        <f>IF(A844&lt;&gt;"",VLOOKUP(A844,'EDC - PRODUCTION'!$A$7:$E$49,5,FALSE),"")</f>
        <v/>
      </c>
      <c r="D844" s="72" t="str">
        <f>IF(A844&lt;&gt;"",VLOOKUP(A844,'EDC - PRODUCTION'!$A$7:$I$49,4,FALSE),"")</f>
        <v/>
      </c>
      <c r="E844" s="44"/>
      <c r="F844" s="45" t="str">
        <f t="shared" si="41"/>
        <v/>
      </c>
      <c r="G844" s="56" t="str">
        <f t="shared" si="42"/>
        <v/>
      </c>
      <c r="H844" s="73"/>
      <c r="I844" s="73"/>
      <c r="J844" s="112" t="str">
        <f t="shared" si="43"/>
        <v/>
      </c>
      <c r="K844" s="68"/>
    </row>
    <row r="845" spans="1:11" x14ac:dyDescent="0.2">
      <c r="A845" s="108"/>
      <c r="B845" s="72" t="str">
        <f>IF(A845&lt;&gt;"",'EDC - PARAMETRAGE'!$A$3,"")</f>
        <v/>
      </c>
      <c r="C845" s="72" t="str">
        <f>IF(A845&lt;&gt;"",VLOOKUP(A845,'EDC - PRODUCTION'!$A$7:$E$49,5,FALSE),"")</f>
        <v/>
      </c>
      <c r="D845" s="72" t="str">
        <f>IF(A845&lt;&gt;"",VLOOKUP(A845,'EDC - PRODUCTION'!$A$7:$I$49,4,FALSE),"")</f>
        <v/>
      </c>
      <c r="E845" s="44"/>
      <c r="F845" s="45" t="str">
        <f t="shared" si="41"/>
        <v/>
      </c>
      <c r="G845" s="56" t="str">
        <f t="shared" si="42"/>
        <v/>
      </c>
      <c r="H845" s="73"/>
      <c r="I845" s="73"/>
      <c r="J845" s="112" t="str">
        <f t="shared" si="43"/>
        <v/>
      </c>
      <c r="K845" s="68"/>
    </row>
    <row r="846" spans="1:11" x14ac:dyDescent="0.2">
      <c r="A846" s="108"/>
      <c r="B846" s="72" t="str">
        <f>IF(A846&lt;&gt;"",'EDC - PARAMETRAGE'!$A$3,"")</f>
        <v/>
      </c>
      <c r="C846" s="72" t="str">
        <f>IF(A846&lt;&gt;"",VLOOKUP(A846,'EDC - PRODUCTION'!$A$7:$E$49,5,FALSE),"")</f>
        <v/>
      </c>
      <c r="D846" s="72" t="str">
        <f>IF(A846&lt;&gt;"",VLOOKUP(A846,'EDC - PRODUCTION'!$A$7:$I$49,4,FALSE),"")</f>
        <v/>
      </c>
      <c r="E846" s="44"/>
      <c r="F846" s="45" t="str">
        <f t="shared" si="41"/>
        <v/>
      </c>
      <c r="G846" s="56" t="str">
        <f t="shared" si="42"/>
        <v/>
      </c>
      <c r="H846" s="73"/>
      <c r="I846" s="73"/>
      <c r="J846" s="112" t="str">
        <f t="shared" si="43"/>
        <v/>
      </c>
      <c r="K846" s="68"/>
    </row>
    <row r="847" spans="1:11" x14ac:dyDescent="0.2">
      <c r="A847" s="108"/>
      <c r="B847" s="72" t="str">
        <f>IF(A847&lt;&gt;"",'EDC - PARAMETRAGE'!$A$3,"")</f>
        <v/>
      </c>
      <c r="C847" s="72" t="str">
        <f>IF(A847&lt;&gt;"",VLOOKUP(A847,'EDC - PRODUCTION'!$A$7:$E$49,5,FALSE),"")</f>
        <v/>
      </c>
      <c r="D847" s="72" t="str">
        <f>IF(A847&lt;&gt;"",VLOOKUP(A847,'EDC - PRODUCTION'!$A$7:$I$49,4,FALSE),"")</f>
        <v/>
      </c>
      <c r="E847" s="44"/>
      <c r="F847" s="45" t="str">
        <f t="shared" si="41"/>
        <v/>
      </c>
      <c r="G847" s="56" t="str">
        <f t="shared" si="42"/>
        <v/>
      </c>
      <c r="H847" s="73"/>
      <c r="I847" s="73"/>
      <c r="J847" s="112" t="str">
        <f t="shared" si="43"/>
        <v/>
      </c>
      <c r="K847" s="68"/>
    </row>
    <row r="848" spans="1:11" x14ac:dyDescent="0.2">
      <c r="A848" s="108"/>
      <c r="B848" s="72" t="str">
        <f>IF(A848&lt;&gt;"",'EDC - PARAMETRAGE'!$A$3,"")</f>
        <v/>
      </c>
      <c r="C848" s="72" t="str">
        <f>IF(A848&lt;&gt;"",VLOOKUP(A848,'EDC - PRODUCTION'!$A$7:$E$49,5,FALSE),"")</f>
        <v/>
      </c>
      <c r="D848" s="72" t="str">
        <f>IF(A848&lt;&gt;"",VLOOKUP(A848,'EDC - PRODUCTION'!$A$7:$I$49,4,FALSE),"")</f>
        <v/>
      </c>
      <c r="E848" s="44"/>
      <c r="F848" s="45" t="str">
        <f t="shared" si="41"/>
        <v/>
      </c>
      <c r="G848" s="56" t="str">
        <f t="shared" si="42"/>
        <v/>
      </c>
      <c r="H848" s="73"/>
      <c r="I848" s="73"/>
      <c r="J848" s="112" t="str">
        <f t="shared" si="43"/>
        <v/>
      </c>
      <c r="K848" s="68"/>
    </row>
    <row r="849" spans="1:11" x14ac:dyDescent="0.2">
      <c r="A849" s="108"/>
      <c r="B849" s="72" t="str">
        <f>IF(A849&lt;&gt;"",'EDC - PARAMETRAGE'!$A$3,"")</f>
        <v/>
      </c>
      <c r="C849" s="72" t="str">
        <f>IF(A849&lt;&gt;"",VLOOKUP(A849,'EDC - PRODUCTION'!$A$7:$E$49,5,FALSE),"")</f>
        <v/>
      </c>
      <c r="D849" s="72" t="str">
        <f>IF(A849&lt;&gt;"",VLOOKUP(A849,'EDC - PRODUCTION'!$A$7:$I$49,4,FALSE),"")</f>
        <v/>
      </c>
      <c r="E849" s="44"/>
      <c r="F849" s="45" t="str">
        <f t="shared" si="41"/>
        <v/>
      </c>
      <c r="G849" s="56" t="str">
        <f t="shared" si="42"/>
        <v/>
      </c>
      <c r="H849" s="73"/>
      <c r="I849" s="73"/>
      <c r="J849" s="112" t="str">
        <f t="shared" si="43"/>
        <v/>
      </c>
      <c r="K849" s="68"/>
    </row>
    <row r="850" spans="1:11" x14ac:dyDescent="0.2">
      <c r="A850" s="108"/>
      <c r="B850" s="72" t="str">
        <f>IF(A850&lt;&gt;"",'EDC - PARAMETRAGE'!$A$3,"")</f>
        <v/>
      </c>
      <c r="C850" s="72" t="str">
        <f>IF(A850&lt;&gt;"",VLOOKUP(A850,'EDC - PRODUCTION'!$A$7:$E$49,5,FALSE),"")</f>
        <v/>
      </c>
      <c r="D850" s="72" t="str">
        <f>IF(A850&lt;&gt;"",VLOOKUP(A850,'EDC - PRODUCTION'!$A$7:$I$49,4,FALSE),"")</f>
        <v/>
      </c>
      <c r="E850" s="44"/>
      <c r="F850" s="45" t="str">
        <f t="shared" si="41"/>
        <v/>
      </c>
      <c r="G850" s="56" t="str">
        <f t="shared" si="42"/>
        <v/>
      </c>
      <c r="H850" s="73"/>
      <c r="I850" s="73"/>
      <c r="J850" s="112" t="str">
        <f t="shared" si="43"/>
        <v/>
      </c>
      <c r="K850" s="68"/>
    </row>
    <row r="851" spans="1:11" x14ac:dyDescent="0.2">
      <c r="A851" s="108"/>
      <c r="B851" s="72" t="str">
        <f>IF(A851&lt;&gt;"",'EDC - PARAMETRAGE'!$A$3,"")</f>
        <v/>
      </c>
      <c r="C851" s="72" t="str">
        <f>IF(A851&lt;&gt;"",VLOOKUP(A851,'EDC - PRODUCTION'!$A$7:$E$49,5,FALSE),"")</f>
        <v/>
      </c>
      <c r="D851" s="72" t="str">
        <f>IF(A851&lt;&gt;"",VLOOKUP(A851,'EDC - PRODUCTION'!$A$7:$I$49,4,FALSE),"")</f>
        <v/>
      </c>
      <c r="E851" s="44"/>
      <c r="F851" s="45" t="str">
        <f t="shared" si="41"/>
        <v/>
      </c>
      <c r="G851" s="56" t="str">
        <f t="shared" si="42"/>
        <v/>
      </c>
      <c r="H851" s="73"/>
      <c r="I851" s="73"/>
      <c r="J851" s="112" t="str">
        <f t="shared" si="43"/>
        <v/>
      </c>
      <c r="K851" s="68"/>
    </row>
    <row r="852" spans="1:11" x14ac:dyDescent="0.2">
      <c r="A852" s="108"/>
      <c r="B852" s="72" t="str">
        <f>IF(A852&lt;&gt;"",'EDC - PARAMETRAGE'!$A$3,"")</f>
        <v/>
      </c>
      <c r="C852" s="72" t="str">
        <f>IF(A852&lt;&gt;"",VLOOKUP(A852,'EDC - PRODUCTION'!$A$7:$E$49,5,FALSE),"")</f>
        <v/>
      </c>
      <c r="D852" s="72" t="str">
        <f>IF(A852&lt;&gt;"",VLOOKUP(A852,'EDC - PRODUCTION'!$A$7:$I$49,4,FALSE),"")</f>
        <v/>
      </c>
      <c r="E852" s="44"/>
      <c r="F852" s="45" t="str">
        <f t="shared" si="41"/>
        <v/>
      </c>
      <c r="G852" s="56" t="str">
        <f t="shared" si="42"/>
        <v/>
      </c>
      <c r="H852" s="73"/>
      <c r="I852" s="73"/>
      <c r="J852" s="112" t="str">
        <f t="shared" si="43"/>
        <v/>
      </c>
      <c r="K852" s="68"/>
    </row>
    <row r="853" spans="1:11" x14ac:dyDescent="0.2">
      <c r="A853" s="108"/>
      <c r="B853" s="72" t="str">
        <f>IF(A853&lt;&gt;"",'EDC - PARAMETRAGE'!$A$3,"")</f>
        <v/>
      </c>
      <c r="C853" s="72" t="str">
        <f>IF(A853&lt;&gt;"",VLOOKUP(A853,'EDC - PRODUCTION'!$A$7:$E$49,5,FALSE),"")</f>
        <v/>
      </c>
      <c r="D853" s="72" t="str">
        <f>IF(A853&lt;&gt;"",VLOOKUP(A853,'EDC - PRODUCTION'!$A$7:$I$49,4,FALSE),"")</f>
        <v/>
      </c>
      <c r="E853" s="44"/>
      <c r="F853" s="45" t="str">
        <f t="shared" si="41"/>
        <v/>
      </c>
      <c r="G853" s="56" t="str">
        <f t="shared" si="42"/>
        <v/>
      </c>
      <c r="H853" s="73"/>
      <c r="I853" s="73"/>
      <c r="J853" s="112" t="str">
        <f t="shared" si="43"/>
        <v/>
      </c>
      <c r="K853" s="68"/>
    </row>
    <row r="854" spans="1:11" x14ac:dyDescent="0.2">
      <c r="A854" s="108"/>
      <c r="B854" s="72" t="str">
        <f>IF(A854&lt;&gt;"",'EDC - PARAMETRAGE'!$A$3,"")</f>
        <v/>
      </c>
      <c r="C854" s="72" t="str">
        <f>IF(A854&lt;&gt;"",VLOOKUP(A854,'EDC - PRODUCTION'!$A$7:$E$49,5,FALSE),"")</f>
        <v/>
      </c>
      <c r="D854" s="72" t="str">
        <f>IF(A854&lt;&gt;"",VLOOKUP(A854,'EDC - PRODUCTION'!$A$7:$I$49,4,FALSE),"")</f>
        <v/>
      </c>
      <c r="E854" s="44"/>
      <c r="F854" s="45" t="str">
        <f t="shared" si="41"/>
        <v/>
      </c>
      <c r="G854" s="56" t="str">
        <f t="shared" si="42"/>
        <v/>
      </c>
      <c r="H854" s="73"/>
      <c r="I854" s="73"/>
      <c r="J854" s="112" t="str">
        <f t="shared" si="43"/>
        <v/>
      </c>
      <c r="K854" s="68"/>
    </row>
    <row r="855" spans="1:11" x14ac:dyDescent="0.2">
      <c r="A855" s="108"/>
      <c r="B855" s="72" t="str">
        <f>IF(A855&lt;&gt;"",'EDC - PARAMETRAGE'!$A$3,"")</f>
        <v/>
      </c>
      <c r="C855" s="72" t="str">
        <f>IF(A855&lt;&gt;"",VLOOKUP(A855,'EDC - PRODUCTION'!$A$7:$E$49,5,FALSE),"")</f>
        <v/>
      </c>
      <c r="D855" s="72" t="str">
        <f>IF(A855&lt;&gt;"",VLOOKUP(A855,'EDC - PRODUCTION'!$A$7:$I$49,4,FALSE),"")</f>
        <v/>
      </c>
      <c r="E855" s="44"/>
      <c r="F855" s="45" t="str">
        <f t="shared" si="41"/>
        <v/>
      </c>
      <c r="G855" s="56" t="str">
        <f t="shared" si="42"/>
        <v/>
      </c>
      <c r="H855" s="73"/>
      <c r="I855" s="73"/>
      <c r="J855" s="112" t="str">
        <f t="shared" si="43"/>
        <v/>
      </c>
      <c r="K855" s="68"/>
    </row>
    <row r="856" spans="1:11" x14ac:dyDescent="0.2">
      <c r="A856" s="108"/>
      <c r="B856" s="72" t="str">
        <f>IF(A856&lt;&gt;"",'EDC - PARAMETRAGE'!$A$3,"")</f>
        <v/>
      </c>
      <c r="C856" s="72" t="str">
        <f>IF(A856&lt;&gt;"",VLOOKUP(A856,'EDC - PRODUCTION'!$A$7:$E$49,5,FALSE),"")</f>
        <v/>
      </c>
      <c r="D856" s="72" t="str">
        <f>IF(A856&lt;&gt;"",VLOOKUP(A856,'EDC - PRODUCTION'!$A$7:$I$49,4,FALSE),"")</f>
        <v/>
      </c>
      <c r="E856" s="44"/>
      <c r="F856" s="45" t="str">
        <f t="shared" si="41"/>
        <v/>
      </c>
      <c r="G856" s="56" t="str">
        <f t="shared" si="42"/>
        <v/>
      </c>
      <c r="H856" s="73"/>
      <c r="I856" s="73"/>
      <c r="J856" s="112" t="str">
        <f t="shared" si="43"/>
        <v/>
      </c>
      <c r="K856" s="68"/>
    </row>
    <row r="857" spans="1:11" x14ac:dyDescent="0.2">
      <c r="A857" s="108"/>
      <c r="B857" s="72" t="str">
        <f>IF(A857&lt;&gt;"",'EDC - PARAMETRAGE'!$A$3,"")</f>
        <v/>
      </c>
      <c r="C857" s="72" t="str">
        <f>IF(A857&lt;&gt;"",VLOOKUP(A857,'EDC - PRODUCTION'!$A$7:$E$49,5,FALSE),"")</f>
        <v/>
      </c>
      <c r="D857" s="72" t="str">
        <f>IF(A857&lt;&gt;"",VLOOKUP(A857,'EDC - PRODUCTION'!$A$7:$I$49,4,FALSE),"")</f>
        <v/>
      </c>
      <c r="E857" s="44"/>
      <c r="F857" s="45" t="str">
        <f t="shared" si="41"/>
        <v/>
      </c>
      <c r="G857" s="56" t="str">
        <f t="shared" si="42"/>
        <v/>
      </c>
      <c r="H857" s="73"/>
      <c r="I857" s="73"/>
      <c r="J857" s="112" t="str">
        <f t="shared" si="43"/>
        <v/>
      </c>
      <c r="K857" s="68"/>
    </row>
    <row r="858" spans="1:11" x14ac:dyDescent="0.2">
      <c r="A858" s="108"/>
      <c r="B858" s="72" t="str">
        <f>IF(A858&lt;&gt;"",'EDC - PARAMETRAGE'!$A$3,"")</f>
        <v/>
      </c>
      <c r="C858" s="72" t="str">
        <f>IF(A858&lt;&gt;"",VLOOKUP(A858,'EDC - PRODUCTION'!$A$7:$E$49,5,FALSE),"")</f>
        <v/>
      </c>
      <c r="D858" s="72" t="str">
        <f>IF(A858&lt;&gt;"",VLOOKUP(A858,'EDC - PRODUCTION'!$A$7:$I$49,4,FALSE),"")</f>
        <v/>
      </c>
      <c r="E858" s="44"/>
      <c r="F858" s="45" t="str">
        <f t="shared" si="41"/>
        <v/>
      </c>
      <c r="G858" s="56" t="str">
        <f t="shared" si="42"/>
        <v/>
      </c>
      <c r="H858" s="73"/>
      <c r="I858" s="73"/>
      <c r="J858" s="112" t="str">
        <f t="shared" si="43"/>
        <v/>
      </c>
      <c r="K858" s="68"/>
    </row>
    <row r="859" spans="1:11" x14ac:dyDescent="0.2">
      <c r="A859" s="108"/>
      <c r="B859" s="72" t="str">
        <f>IF(A859&lt;&gt;"",'EDC - PARAMETRAGE'!$A$3,"")</f>
        <v/>
      </c>
      <c r="C859" s="72" t="str">
        <f>IF(A859&lt;&gt;"",VLOOKUP(A859,'EDC - PRODUCTION'!$A$7:$E$49,5,FALSE),"")</f>
        <v/>
      </c>
      <c r="D859" s="72" t="str">
        <f>IF(A859&lt;&gt;"",VLOOKUP(A859,'EDC - PRODUCTION'!$A$7:$I$49,4,FALSE),"")</f>
        <v/>
      </c>
      <c r="E859" s="44"/>
      <c r="F859" s="45" t="str">
        <f t="shared" si="41"/>
        <v/>
      </c>
      <c r="G859" s="56" t="str">
        <f t="shared" si="42"/>
        <v/>
      </c>
      <c r="H859" s="73"/>
      <c r="I859" s="73"/>
      <c r="J859" s="112" t="str">
        <f t="shared" si="43"/>
        <v/>
      </c>
      <c r="K859" s="68"/>
    </row>
    <row r="860" spans="1:11" x14ac:dyDescent="0.2">
      <c r="A860" s="108"/>
      <c r="B860" s="72" t="str">
        <f>IF(A860&lt;&gt;"",'EDC - PARAMETRAGE'!$A$3,"")</f>
        <v/>
      </c>
      <c r="C860" s="72" t="str">
        <f>IF(A860&lt;&gt;"",VLOOKUP(A860,'EDC - PRODUCTION'!$A$7:$E$49,5,FALSE),"")</f>
        <v/>
      </c>
      <c r="D860" s="72" t="str">
        <f>IF(A860&lt;&gt;"",VLOOKUP(A860,'EDC - PRODUCTION'!$A$7:$I$49,4,FALSE),"")</f>
        <v/>
      </c>
      <c r="E860" s="44"/>
      <c r="F860" s="45" t="str">
        <f t="shared" si="41"/>
        <v/>
      </c>
      <c r="G860" s="56" t="str">
        <f t="shared" si="42"/>
        <v/>
      </c>
      <c r="H860" s="73"/>
      <c r="I860" s="73"/>
      <c r="J860" s="112" t="str">
        <f t="shared" si="43"/>
        <v/>
      </c>
      <c r="K860" s="68"/>
    </row>
    <row r="861" spans="1:11" x14ac:dyDescent="0.2">
      <c r="A861" s="108"/>
      <c r="B861" s="72" t="str">
        <f>IF(A861&lt;&gt;"",'EDC - PARAMETRAGE'!$A$3,"")</f>
        <v/>
      </c>
      <c r="C861" s="72" t="str">
        <f>IF(A861&lt;&gt;"",VLOOKUP(A861,'EDC - PRODUCTION'!$A$7:$E$49,5,FALSE),"")</f>
        <v/>
      </c>
      <c r="D861" s="72" t="str">
        <f>IF(A861&lt;&gt;"",VLOOKUP(A861,'EDC - PRODUCTION'!$A$7:$I$49,4,FALSE),"")</f>
        <v/>
      </c>
      <c r="E861" s="44"/>
      <c r="F861" s="45" t="str">
        <f t="shared" si="41"/>
        <v/>
      </c>
      <c r="G861" s="56" t="str">
        <f t="shared" si="42"/>
        <v/>
      </c>
      <c r="H861" s="73"/>
      <c r="I861" s="73"/>
      <c r="J861" s="112" t="str">
        <f t="shared" si="43"/>
        <v/>
      </c>
      <c r="K861" s="68"/>
    </row>
    <row r="862" spans="1:11" x14ac:dyDescent="0.2">
      <c r="A862" s="108"/>
      <c r="B862" s="72" t="str">
        <f>IF(A862&lt;&gt;"",'EDC - PARAMETRAGE'!$A$3,"")</f>
        <v/>
      </c>
      <c r="C862" s="72" t="str">
        <f>IF(A862&lt;&gt;"",VLOOKUP(A862,'EDC - PRODUCTION'!$A$7:$E$49,5,FALSE),"")</f>
        <v/>
      </c>
      <c r="D862" s="72" t="str">
        <f>IF(A862&lt;&gt;"",VLOOKUP(A862,'EDC - PRODUCTION'!$A$7:$I$49,4,FALSE),"")</f>
        <v/>
      </c>
      <c r="E862" s="44"/>
      <c r="F862" s="45" t="str">
        <f t="shared" si="41"/>
        <v/>
      </c>
      <c r="G862" s="56" t="str">
        <f t="shared" si="42"/>
        <v/>
      </c>
      <c r="H862" s="73"/>
      <c r="I862" s="73"/>
      <c r="J862" s="112" t="str">
        <f t="shared" si="43"/>
        <v/>
      </c>
      <c r="K862" s="68"/>
    </row>
    <row r="863" spans="1:11" x14ac:dyDescent="0.2">
      <c r="A863" s="108"/>
      <c r="B863" s="72" t="str">
        <f>IF(A863&lt;&gt;"",'EDC - PARAMETRAGE'!$A$3,"")</f>
        <v/>
      </c>
      <c r="C863" s="72" t="str">
        <f>IF(A863&lt;&gt;"",VLOOKUP(A863,'EDC - PRODUCTION'!$A$7:$E$49,5,FALSE),"")</f>
        <v/>
      </c>
      <c r="D863" s="72" t="str">
        <f>IF(A863&lt;&gt;"",VLOOKUP(A863,'EDC - PRODUCTION'!$A$7:$I$49,4,FALSE),"")</f>
        <v/>
      </c>
      <c r="E863" s="44"/>
      <c r="F863" s="45" t="str">
        <f t="shared" si="41"/>
        <v/>
      </c>
      <c r="G863" s="56" t="str">
        <f t="shared" si="42"/>
        <v/>
      </c>
      <c r="H863" s="73"/>
      <c r="I863" s="73"/>
      <c r="J863" s="112" t="str">
        <f t="shared" si="43"/>
        <v/>
      </c>
      <c r="K863" s="68"/>
    </row>
    <row r="864" spans="1:11" x14ac:dyDescent="0.2">
      <c r="A864" s="108"/>
      <c r="B864" s="72" t="str">
        <f>IF(A864&lt;&gt;"",'EDC - PARAMETRAGE'!$A$3,"")</f>
        <v/>
      </c>
      <c r="C864" s="72" t="str">
        <f>IF(A864&lt;&gt;"",VLOOKUP(A864,'EDC - PRODUCTION'!$A$7:$E$49,5,FALSE),"")</f>
        <v/>
      </c>
      <c r="D864" s="72" t="str">
        <f>IF(A864&lt;&gt;"",VLOOKUP(A864,'EDC - PRODUCTION'!$A$7:$I$49,4,FALSE),"")</f>
        <v/>
      </c>
      <c r="E864" s="44"/>
      <c r="F864" s="45" t="str">
        <f t="shared" si="41"/>
        <v/>
      </c>
      <c r="G864" s="56" t="str">
        <f t="shared" si="42"/>
        <v/>
      </c>
      <c r="H864" s="73"/>
      <c r="I864" s="73"/>
      <c r="J864" s="112" t="str">
        <f t="shared" si="43"/>
        <v/>
      </c>
      <c r="K864" s="68"/>
    </row>
    <row r="865" spans="1:11" x14ac:dyDescent="0.2">
      <c r="A865" s="108"/>
      <c r="B865" s="72" t="str">
        <f>IF(A865&lt;&gt;"",'EDC - PARAMETRAGE'!$A$3,"")</f>
        <v/>
      </c>
      <c r="C865" s="72" t="str">
        <f>IF(A865&lt;&gt;"",VLOOKUP(A865,'EDC - PRODUCTION'!$A$7:$E$49,5,FALSE),"")</f>
        <v/>
      </c>
      <c r="D865" s="72" t="str">
        <f>IF(A865&lt;&gt;"",VLOOKUP(A865,'EDC - PRODUCTION'!$A$7:$I$49,4,FALSE),"")</f>
        <v/>
      </c>
      <c r="E865" s="44"/>
      <c r="F865" s="45" t="str">
        <f t="shared" si="41"/>
        <v/>
      </c>
      <c r="G865" s="56" t="str">
        <f t="shared" si="42"/>
        <v/>
      </c>
      <c r="H865" s="73"/>
      <c r="I865" s="73"/>
      <c r="J865" s="112" t="str">
        <f t="shared" si="43"/>
        <v/>
      </c>
      <c r="K865" s="68"/>
    </row>
    <row r="866" spans="1:11" x14ac:dyDescent="0.2">
      <c r="A866" s="108"/>
      <c r="B866" s="72" t="str">
        <f>IF(A866&lt;&gt;"",'EDC - PARAMETRAGE'!$A$3,"")</f>
        <v/>
      </c>
      <c r="C866" s="72" t="str">
        <f>IF(A866&lt;&gt;"",VLOOKUP(A866,'EDC - PRODUCTION'!$A$7:$E$49,5,FALSE),"")</f>
        <v/>
      </c>
      <c r="D866" s="72" t="str">
        <f>IF(A866&lt;&gt;"",VLOOKUP(A866,'EDC - PRODUCTION'!$A$7:$I$49,4,FALSE),"")</f>
        <v/>
      </c>
      <c r="E866" s="44"/>
      <c r="F866" s="45" t="str">
        <f t="shared" si="41"/>
        <v/>
      </c>
      <c r="G866" s="56" t="str">
        <f t="shared" si="42"/>
        <v/>
      </c>
      <c r="H866" s="73"/>
      <c r="I866" s="73"/>
      <c r="J866" s="112" t="str">
        <f t="shared" si="43"/>
        <v/>
      </c>
      <c r="K866" s="68"/>
    </row>
    <row r="867" spans="1:11" x14ac:dyDescent="0.2">
      <c r="A867" s="108"/>
      <c r="B867" s="72" t="str">
        <f>IF(A867&lt;&gt;"",'EDC - PARAMETRAGE'!$A$3,"")</f>
        <v/>
      </c>
      <c r="C867" s="72" t="str">
        <f>IF(A867&lt;&gt;"",VLOOKUP(A867,'EDC - PRODUCTION'!$A$7:$E$49,5,FALSE),"")</f>
        <v/>
      </c>
      <c r="D867" s="72" t="str">
        <f>IF(A867&lt;&gt;"",VLOOKUP(A867,'EDC - PRODUCTION'!$A$7:$I$49,4,FALSE),"")</f>
        <v/>
      </c>
      <c r="E867" s="44"/>
      <c r="F867" s="45" t="str">
        <f t="shared" si="41"/>
        <v/>
      </c>
      <c r="G867" s="56" t="str">
        <f t="shared" si="42"/>
        <v/>
      </c>
      <c r="H867" s="73"/>
      <c r="I867" s="73"/>
      <c r="J867" s="112" t="str">
        <f t="shared" si="43"/>
        <v/>
      </c>
      <c r="K867" s="68"/>
    </row>
    <row r="868" spans="1:11" x14ac:dyDescent="0.2">
      <c r="A868" s="108"/>
      <c r="B868" s="72" t="str">
        <f>IF(A868&lt;&gt;"",'EDC - PARAMETRAGE'!$A$3,"")</f>
        <v/>
      </c>
      <c r="C868" s="72" t="str">
        <f>IF(A868&lt;&gt;"",VLOOKUP(A868,'EDC - PRODUCTION'!$A$7:$E$49,5,FALSE),"")</f>
        <v/>
      </c>
      <c r="D868" s="72" t="str">
        <f>IF(A868&lt;&gt;"",VLOOKUP(A868,'EDC - PRODUCTION'!$A$7:$I$49,4,FALSE),"")</f>
        <v/>
      </c>
      <c r="E868" s="44"/>
      <c r="F868" s="45" t="str">
        <f t="shared" si="41"/>
        <v/>
      </c>
      <c r="G868" s="56" t="str">
        <f t="shared" si="42"/>
        <v/>
      </c>
      <c r="H868" s="73"/>
      <c r="I868" s="73"/>
      <c r="J868" s="112" t="str">
        <f t="shared" si="43"/>
        <v/>
      </c>
      <c r="K868" s="68"/>
    </row>
    <row r="869" spans="1:11" x14ac:dyDescent="0.2">
      <c r="A869" s="108"/>
      <c r="B869" s="72" t="str">
        <f>IF(A869&lt;&gt;"",'EDC - PARAMETRAGE'!$A$3,"")</f>
        <v/>
      </c>
      <c r="C869" s="72" t="str">
        <f>IF(A869&lt;&gt;"",VLOOKUP(A869,'EDC - PRODUCTION'!$A$7:$E$49,5,FALSE),"")</f>
        <v/>
      </c>
      <c r="D869" s="72" t="str">
        <f>IF(A869&lt;&gt;"",VLOOKUP(A869,'EDC - PRODUCTION'!$A$7:$I$49,4,FALSE),"")</f>
        <v/>
      </c>
      <c r="E869" s="44"/>
      <c r="F869" s="45" t="str">
        <f t="shared" si="41"/>
        <v/>
      </c>
      <c r="G869" s="56" t="str">
        <f t="shared" si="42"/>
        <v/>
      </c>
      <c r="H869" s="73"/>
      <c r="I869" s="73"/>
      <c r="J869" s="112" t="str">
        <f t="shared" si="43"/>
        <v/>
      </c>
      <c r="K869" s="68"/>
    </row>
    <row r="870" spans="1:11" x14ac:dyDescent="0.2">
      <c r="A870" s="108"/>
      <c r="B870" s="72" t="str">
        <f>IF(A870&lt;&gt;"",'EDC - PARAMETRAGE'!$A$3,"")</f>
        <v/>
      </c>
      <c r="C870" s="72" t="str">
        <f>IF(A870&lt;&gt;"",VLOOKUP(A870,'EDC - PRODUCTION'!$A$7:$E$49,5,FALSE),"")</f>
        <v/>
      </c>
      <c r="D870" s="72" t="str">
        <f>IF(A870&lt;&gt;"",VLOOKUP(A870,'EDC - PRODUCTION'!$A$7:$I$49,4,FALSE),"")</f>
        <v/>
      </c>
      <c r="E870" s="44"/>
      <c r="F870" s="45" t="str">
        <f t="shared" si="41"/>
        <v/>
      </c>
      <c r="G870" s="56" t="str">
        <f t="shared" si="42"/>
        <v/>
      </c>
      <c r="H870" s="73"/>
      <c r="I870" s="73"/>
      <c r="J870" s="112" t="str">
        <f t="shared" si="43"/>
        <v/>
      </c>
      <c r="K870" s="68"/>
    </row>
    <row r="871" spans="1:11" x14ac:dyDescent="0.2">
      <c r="A871" s="108"/>
      <c r="B871" s="72" t="str">
        <f>IF(A871&lt;&gt;"",'EDC - PARAMETRAGE'!$A$3,"")</f>
        <v/>
      </c>
      <c r="C871" s="72" t="str">
        <f>IF(A871&lt;&gt;"",VLOOKUP(A871,'EDC - PRODUCTION'!$A$7:$E$49,5,FALSE),"")</f>
        <v/>
      </c>
      <c r="D871" s="72" t="str">
        <f>IF(A871&lt;&gt;"",VLOOKUP(A871,'EDC - PRODUCTION'!$A$7:$I$49,4,FALSE),"")</f>
        <v/>
      </c>
      <c r="E871" s="44"/>
      <c r="F871" s="45" t="str">
        <f t="shared" si="41"/>
        <v/>
      </c>
      <c r="G871" s="56" t="str">
        <f t="shared" si="42"/>
        <v/>
      </c>
      <c r="H871" s="73"/>
      <c r="I871" s="73"/>
      <c r="J871" s="112" t="str">
        <f t="shared" si="43"/>
        <v/>
      </c>
      <c r="K871" s="68"/>
    </row>
    <row r="872" spans="1:11" x14ac:dyDescent="0.2">
      <c r="A872" s="108"/>
      <c r="B872" s="72" t="str">
        <f>IF(A872&lt;&gt;"",'EDC - PARAMETRAGE'!$A$3,"")</f>
        <v/>
      </c>
      <c r="C872" s="72" t="str">
        <f>IF(A872&lt;&gt;"",VLOOKUP(A872,'EDC - PRODUCTION'!$A$7:$E$49,5,FALSE),"")</f>
        <v/>
      </c>
      <c r="D872" s="72" t="str">
        <f>IF(A872&lt;&gt;"",VLOOKUP(A872,'EDC - PRODUCTION'!$A$7:$I$49,4,FALSE),"")</f>
        <v/>
      </c>
      <c r="E872" s="44"/>
      <c r="F872" s="45" t="str">
        <f t="shared" si="41"/>
        <v/>
      </c>
      <c r="G872" s="56" t="str">
        <f t="shared" si="42"/>
        <v/>
      </c>
      <c r="H872" s="73"/>
      <c r="I872" s="73"/>
      <c r="J872" s="112" t="str">
        <f t="shared" si="43"/>
        <v/>
      </c>
      <c r="K872" s="68"/>
    </row>
    <row r="873" spans="1:11" x14ac:dyDescent="0.2">
      <c r="A873" s="108"/>
      <c r="B873" s="72" t="str">
        <f>IF(A873&lt;&gt;"",'EDC - PARAMETRAGE'!$A$3,"")</f>
        <v/>
      </c>
      <c r="C873" s="72" t="str">
        <f>IF(A873&lt;&gt;"",VLOOKUP(A873,'EDC - PRODUCTION'!$A$7:$E$49,5,FALSE),"")</f>
        <v/>
      </c>
      <c r="D873" s="72" t="str">
        <f>IF(A873&lt;&gt;"",VLOOKUP(A873,'EDC - PRODUCTION'!$A$7:$I$49,4,FALSE),"")</f>
        <v/>
      </c>
      <c r="E873" s="44"/>
      <c r="F873" s="45" t="str">
        <f t="shared" si="41"/>
        <v/>
      </c>
      <c r="G873" s="56" t="str">
        <f t="shared" si="42"/>
        <v/>
      </c>
      <c r="H873" s="73"/>
      <c r="I873" s="73"/>
      <c r="J873" s="112" t="str">
        <f t="shared" si="43"/>
        <v/>
      </c>
      <c r="K873" s="68"/>
    </row>
    <row r="874" spans="1:11" x14ac:dyDescent="0.2">
      <c r="A874" s="108"/>
      <c r="B874" s="72" t="str">
        <f>IF(A874&lt;&gt;"",'EDC - PARAMETRAGE'!$A$3,"")</f>
        <v/>
      </c>
      <c r="C874" s="72" t="str">
        <f>IF(A874&lt;&gt;"",VLOOKUP(A874,'EDC - PRODUCTION'!$A$7:$E$49,5,FALSE),"")</f>
        <v/>
      </c>
      <c r="D874" s="72" t="str">
        <f>IF(A874&lt;&gt;"",VLOOKUP(A874,'EDC - PRODUCTION'!$A$7:$I$49,4,FALSE),"")</f>
        <v/>
      </c>
      <c r="E874" s="44"/>
      <c r="F874" s="45" t="str">
        <f t="shared" si="41"/>
        <v/>
      </c>
      <c r="G874" s="56" t="str">
        <f t="shared" si="42"/>
        <v/>
      </c>
      <c r="H874" s="73"/>
      <c r="I874" s="73"/>
      <c r="J874" s="112" t="str">
        <f t="shared" si="43"/>
        <v/>
      </c>
      <c r="K874" s="68"/>
    </row>
    <row r="875" spans="1:11" x14ac:dyDescent="0.2">
      <c r="A875" s="108"/>
      <c r="B875" s="72" t="str">
        <f>IF(A875&lt;&gt;"",'EDC - PARAMETRAGE'!$A$3,"")</f>
        <v/>
      </c>
      <c r="C875" s="72" t="str">
        <f>IF(A875&lt;&gt;"",VLOOKUP(A875,'EDC - PRODUCTION'!$A$7:$E$49,5,FALSE),"")</f>
        <v/>
      </c>
      <c r="D875" s="72" t="str">
        <f>IF(A875&lt;&gt;"",VLOOKUP(A875,'EDC - PRODUCTION'!$A$7:$I$49,4,FALSE),"")</f>
        <v/>
      </c>
      <c r="E875" s="44"/>
      <c r="F875" s="45" t="str">
        <f t="shared" si="41"/>
        <v/>
      </c>
      <c r="G875" s="56" t="str">
        <f t="shared" si="42"/>
        <v/>
      </c>
      <c r="H875" s="73"/>
      <c r="I875" s="73"/>
      <c r="J875" s="112" t="str">
        <f t="shared" si="43"/>
        <v/>
      </c>
      <c r="K875" s="68"/>
    </row>
    <row r="876" spans="1:11" x14ac:dyDescent="0.2">
      <c r="A876" s="108"/>
      <c r="B876" s="72" t="str">
        <f>IF(A876&lt;&gt;"",'EDC - PARAMETRAGE'!$A$3,"")</f>
        <v/>
      </c>
      <c r="C876" s="72" t="str">
        <f>IF(A876&lt;&gt;"",VLOOKUP(A876,'EDC - PRODUCTION'!$A$7:$E$49,5,FALSE),"")</f>
        <v/>
      </c>
      <c r="D876" s="72" t="str">
        <f>IF(A876&lt;&gt;"",VLOOKUP(A876,'EDC - PRODUCTION'!$A$7:$I$49,4,FALSE),"")</f>
        <v/>
      </c>
      <c r="E876" s="44"/>
      <c r="F876" s="45" t="str">
        <f t="shared" si="41"/>
        <v/>
      </c>
      <c r="G876" s="56" t="str">
        <f t="shared" si="42"/>
        <v/>
      </c>
      <c r="H876" s="73"/>
      <c r="I876" s="73"/>
      <c r="J876" s="112" t="str">
        <f t="shared" si="43"/>
        <v/>
      </c>
      <c r="K876" s="68"/>
    </row>
    <row r="877" spans="1:11" x14ac:dyDescent="0.2">
      <c r="A877" s="108"/>
      <c r="B877" s="72" t="str">
        <f>IF(A877&lt;&gt;"",'EDC - PARAMETRAGE'!$A$3,"")</f>
        <v/>
      </c>
      <c r="C877" s="72" t="str">
        <f>IF(A877&lt;&gt;"",VLOOKUP(A877,'EDC - PRODUCTION'!$A$7:$E$49,5,FALSE),"")</f>
        <v/>
      </c>
      <c r="D877" s="72" t="str">
        <f>IF(A877&lt;&gt;"",VLOOKUP(A877,'EDC - PRODUCTION'!$A$7:$I$49,4,FALSE),"")</f>
        <v/>
      </c>
      <c r="E877" s="44"/>
      <c r="F877" s="45" t="str">
        <f t="shared" si="41"/>
        <v/>
      </c>
      <c r="G877" s="56" t="str">
        <f t="shared" si="42"/>
        <v/>
      </c>
      <c r="H877" s="73"/>
      <c r="I877" s="73"/>
      <c r="J877" s="112" t="str">
        <f t="shared" si="43"/>
        <v/>
      </c>
      <c r="K877" s="68"/>
    </row>
    <row r="878" spans="1:11" x14ac:dyDescent="0.2">
      <c r="A878" s="108"/>
      <c r="B878" s="72" t="str">
        <f>IF(A878&lt;&gt;"",'EDC - PARAMETRAGE'!$A$3,"")</f>
        <v/>
      </c>
      <c r="C878" s="72" t="str">
        <f>IF(A878&lt;&gt;"",VLOOKUP(A878,'EDC - PRODUCTION'!$A$7:$E$49,5,FALSE),"")</f>
        <v/>
      </c>
      <c r="D878" s="72" t="str">
        <f>IF(A878&lt;&gt;"",VLOOKUP(A878,'EDC - PRODUCTION'!$A$7:$I$49,4,FALSE),"")</f>
        <v/>
      </c>
      <c r="E878" s="44"/>
      <c r="F878" s="45" t="str">
        <f t="shared" si="41"/>
        <v/>
      </c>
      <c r="G878" s="56" t="str">
        <f t="shared" si="42"/>
        <v/>
      </c>
      <c r="H878" s="73"/>
      <c r="I878" s="73"/>
      <c r="J878" s="112" t="str">
        <f t="shared" si="43"/>
        <v/>
      </c>
      <c r="K878" s="68"/>
    </row>
    <row r="879" spans="1:11" x14ac:dyDescent="0.2">
      <c r="A879" s="108"/>
      <c r="B879" s="72" t="str">
        <f>IF(A879&lt;&gt;"",'EDC - PARAMETRAGE'!$A$3,"")</f>
        <v/>
      </c>
      <c r="C879" s="72" t="str">
        <f>IF(A879&lt;&gt;"",VLOOKUP(A879,'EDC - PRODUCTION'!$A$7:$E$49,5,FALSE),"")</f>
        <v/>
      </c>
      <c r="D879" s="72" t="str">
        <f>IF(A879&lt;&gt;"",VLOOKUP(A879,'EDC - PRODUCTION'!$A$7:$I$49,4,FALSE),"")</f>
        <v/>
      </c>
      <c r="E879" s="44"/>
      <c r="F879" s="45" t="str">
        <f t="shared" si="41"/>
        <v/>
      </c>
      <c r="G879" s="56" t="str">
        <f t="shared" si="42"/>
        <v/>
      </c>
      <c r="H879" s="73"/>
      <c r="I879" s="73"/>
      <c r="J879" s="112" t="str">
        <f t="shared" si="43"/>
        <v/>
      </c>
      <c r="K879" s="68"/>
    </row>
    <row r="880" spans="1:11" x14ac:dyDescent="0.2">
      <c r="A880" s="108"/>
      <c r="B880" s="72" t="str">
        <f>IF(A880&lt;&gt;"",'EDC - PARAMETRAGE'!$A$3,"")</f>
        <v/>
      </c>
      <c r="C880" s="72" t="str">
        <f>IF(A880&lt;&gt;"",VLOOKUP(A880,'EDC - PRODUCTION'!$A$7:$E$49,5,FALSE),"")</f>
        <v/>
      </c>
      <c r="D880" s="72" t="str">
        <f>IF(A880&lt;&gt;"",VLOOKUP(A880,'EDC - PRODUCTION'!$A$7:$I$49,4,FALSE),"")</f>
        <v/>
      </c>
      <c r="E880" s="44"/>
      <c r="F880" s="45" t="str">
        <f t="shared" si="41"/>
        <v/>
      </c>
      <c r="G880" s="56" t="str">
        <f t="shared" si="42"/>
        <v/>
      </c>
      <c r="H880" s="73"/>
      <c r="I880" s="73"/>
      <c r="J880" s="112" t="str">
        <f t="shared" si="43"/>
        <v/>
      </c>
      <c r="K880" s="68"/>
    </row>
    <row r="881" spans="1:11" x14ac:dyDescent="0.2">
      <c r="A881" s="108"/>
      <c r="B881" s="72" t="str">
        <f>IF(A881&lt;&gt;"",'EDC - PARAMETRAGE'!$A$3,"")</f>
        <v/>
      </c>
      <c r="C881" s="72" t="str">
        <f>IF(A881&lt;&gt;"",VLOOKUP(A881,'EDC - PRODUCTION'!$A$7:$E$49,5,FALSE),"")</f>
        <v/>
      </c>
      <c r="D881" s="72" t="str">
        <f>IF(A881&lt;&gt;"",VLOOKUP(A881,'EDC - PRODUCTION'!$A$7:$I$49,4,FALSE),"")</f>
        <v/>
      </c>
      <c r="E881" s="44"/>
      <c r="F881" s="45" t="str">
        <f t="shared" si="41"/>
        <v/>
      </c>
      <c r="G881" s="56" t="str">
        <f t="shared" si="42"/>
        <v/>
      </c>
      <c r="H881" s="73"/>
      <c r="I881" s="73"/>
      <c r="J881" s="112" t="str">
        <f t="shared" si="43"/>
        <v/>
      </c>
      <c r="K881" s="68"/>
    </row>
    <row r="882" spans="1:11" x14ac:dyDescent="0.2">
      <c r="A882" s="108"/>
      <c r="B882" s="72" t="str">
        <f>IF(A882&lt;&gt;"",'EDC - PARAMETRAGE'!$A$3,"")</f>
        <v/>
      </c>
      <c r="C882" s="72" t="str">
        <f>IF(A882&lt;&gt;"",VLOOKUP(A882,'EDC - PRODUCTION'!$A$7:$E$49,5,FALSE),"")</f>
        <v/>
      </c>
      <c r="D882" s="72" t="str">
        <f>IF(A882&lt;&gt;"",VLOOKUP(A882,'EDC - PRODUCTION'!$A$7:$I$49,4,FALSE),"")</f>
        <v/>
      </c>
      <c r="E882" s="44"/>
      <c r="F882" s="45" t="str">
        <f t="shared" si="41"/>
        <v/>
      </c>
      <c r="G882" s="56" t="str">
        <f t="shared" si="42"/>
        <v/>
      </c>
      <c r="H882" s="73"/>
      <c r="I882" s="73"/>
      <c r="J882" s="112" t="str">
        <f t="shared" si="43"/>
        <v/>
      </c>
      <c r="K882" s="68"/>
    </row>
    <row r="883" spans="1:11" x14ac:dyDescent="0.2">
      <c r="A883" s="108"/>
      <c r="B883" s="72" t="str">
        <f>IF(A883&lt;&gt;"",'EDC - PARAMETRAGE'!$A$3,"")</f>
        <v/>
      </c>
      <c r="C883" s="72" t="str">
        <f>IF(A883&lt;&gt;"",VLOOKUP(A883,'EDC - PRODUCTION'!$A$7:$E$49,5,FALSE),"")</f>
        <v/>
      </c>
      <c r="D883" s="72" t="str">
        <f>IF(A883&lt;&gt;"",VLOOKUP(A883,'EDC - PRODUCTION'!$A$7:$I$49,4,FALSE),"")</f>
        <v/>
      </c>
      <c r="E883" s="44"/>
      <c r="F883" s="45" t="str">
        <f t="shared" si="41"/>
        <v/>
      </c>
      <c r="G883" s="56" t="str">
        <f t="shared" si="42"/>
        <v/>
      </c>
      <c r="H883" s="73"/>
      <c r="I883" s="73"/>
      <c r="J883" s="112" t="str">
        <f t="shared" si="43"/>
        <v/>
      </c>
      <c r="K883" s="68"/>
    </row>
    <row r="884" spans="1:11" x14ac:dyDescent="0.2">
      <c r="A884" s="108"/>
      <c r="B884" s="72" t="str">
        <f>IF(A884&lt;&gt;"",'EDC - PARAMETRAGE'!$A$3,"")</f>
        <v/>
      </c>
      <c r="C884" s="72" t="str">
        <f>IF(A884&lt;&gt;"",VLOOKUP(A884,'EDC - PRODUCTION'!$A$7:$E$49,5,FALSE),"")</f>
        <v/>
      </c>
      <c r="D884" s="72" t="str">
        <f>IF(A884&lt;&gt;"",VLOOKUP(A884,'EDC - PRODUCTION'!$A$7:$I$49,4,FALSE),"")</f>
        <v/>
      </c>
      <c r="E884" s="44"/>
      <c r="F884" s="45" t="str">
        <f t="shared" si="41"/>
        <v/>
      </c>
      <c r="G884" s="56" t="str">
        <f t="shared" si="42"/>
        <v/>
      </c>
      <c r="H884" s="73"/>
      <c r="I884" s="73"/>
      <c r="J884" s="112" t="str">
        <f t="shared" si="43"/>
        <v/>
      </c>
      <c r="K884" s="68"/>
    </row>
    <row r="885" spans="1:11" x14ac:dyDescent="0.2">
      <c r="A885" s="108"/>
      <c r="B885" s="72" t="str">
        <f>IF(A885&lt;&gt;"",'EDC - PARAMETRAGE'!$A$3,"")</f>
        <v/>
      </c>
      <c r="C885" s="72" t="str">
        <f>IF(A885&lt;&gt;"",VLOOKUP(A885,'EDC - PRODUCTION'!$A$7:$E$49,5,FALSE),"")</f>
        <v/>
      </c>
      <c r="D885" s="72" t="str">
        <f>IF(A885&lt;&gt;"",VLOOKUP(A885,'EDC - PRODUCTION'!$A$7:$I$49,4,FALSE),"")</f>
        <v/>
      </c>
      <c r="E885" s="44"/>
      <c r="F885" s="45" t="str">
        <f t="shared" si="41"/>
        <v/>
      </c>
      <c r="G885" s="56" t="str">
        <f t="shared" si="42"/>
        <v/>
      </c>
      <c r="H885" s="73"/>
      <c r="I885" s="73"/>
      <c r="J885" s="112" t="str">
        <f t="shared" si="43"/>
        <v/>
      </c>
      <c r="K885" s="68"/>
    </row>
    <row r="886" spans="1:11" x14ac:dyDescent="0.2">
      <c r="A886" s="108"/>
      <c r="B886" s="72" t="str">
        <f>IF(A886&lt;&gt;"",'EDC - PARAMETRAGE'!$A$3,"")</f>
        <v/>
      </c>
      <c r="C886" s="72" t="str">
        <f>IF(A886&lt;&gt;"",VLOOKUP(A886,'EDC - PRODUCTION'!$A$7:$E$49,5,FALSE),"")</f>
        <v/>
      </c>
      <c r="D886" s="72" t="str">
        <f>IF(A886&lt;&gt;"",VLOOKUP(A886,'EDC - PRODUCTION'!$A$7:$I$49,4,FALSE),"")</f>
        <v/>
      </c>
      <c r="E886" s="44"/>
      <c r="F886" s="45" t="str">
        <f t="shared" si="41"/>
        <v/>
      </c>
      <c r="G886" s="56" t="str">
        <f t="shared" si="42"/>
        <v/>
      </c>
      <c r="H886" s="73"/>
      <c r="I886" s="73"/>
      <c r="J886" s="112" t="str">
        <f t="shared" si="43"/>
        <v/>
      </c>
      <c r="K886" s="68"/>
    </row>
    <row r="887" spans="1:11" x14ac:dyDescent="0.2">
      <c r="A887" s="108"/>
      <c r="B887" s="72" t="str">
        <f>IF(A887&lt;&gt;"",'EDC - PARAMETRAGE'!$A$3,"")</f>
        <v/>
      </c>
      <c r="C887" s="72" t="str">
        <f>IF(A887&lt;&gt;"",VLOOKUP(A887,'EDC - PRODUCTION'!$A$7:$E$49,5,FALSE),"")</f>
        <v/>
      </c>
      <c r="D887" s="72" t="str">
        <f>IF(A887&lt;&gt;"",VLOOKUP(A887,'EDC - PRODUCTION'!$A$7:$I$49,4,FALSE),"")</f>
        <v/>
      </c>
      <c r="E887" s="44"/>
      <c r="F887" s="45" t="str">
        <f t="shared" si="41"/>
        <v/>
      </c>
      <c r="G887" s="56" t="str">
        <f t="shared" si="42"/>
        <v/>
      </c>
      <c r="H887" s="73"/>
      <c r="I887" s="73"/>
      <c r="J887" s="112" t="str">
        <f t="shared" si="43"/>
        <v/>
      </c>
      <c r="K887" s="68"/>
    </row>
    <row r="888" spans="1:11" x14ac:dyDescent="0.2">
      <c r="A888" s="108"/>
      <c r="B888" s="72" t="str">
        <f>IF(A888&lt;&gt;"",'EDC - PARAMETRAGE'!$A$3,"")</f>
        <v/>
      </c>
      <c r="C888" s="72" t="str">
        <f>IF(A888&lt;&gt;"",VLOOKUP(A888,'EDC - PRODUCTION'!$A$7:$E$49,5,FALSE),"")</f>
        <v/>
      </c>
      <c r="D888" s="72" t="str">
        <f>IF(A888&lt;&gt;"",VLOOKUP(A888,'EDC - PRODUCTION'!$A$7:$I$49,4,FALSE),"")</f>
        <v/>
      </c>
      <c r="E888" s="44"/>
      <c r="F888" s="45" t="str">
        <f t="shared" si="41"/>
        <v/>
      </c>
      <c r="G888" s="56" t="str">
        <f t="shared" si="42"/>
        <v/>
      </c>
      <c r="H888" s="73"/>
      <c r="I888" s="73"/>
      <c r="J888" s="112" t="str">
        <f t="shared" si="43"/>
        <v/>
      </c>
      <c r="K888" s="68"/>
    </row>
    <row r="889" spans="1:11" x14ac:dyDescent="0.2">
      <c r="A889" s="108"/>
      <c r="B889" s="72" t="str">
        <f>IF(A889&lt;&gt;"",'EDC - PARAMETRAGE'!$A$3,"")</f>
        <v/>
      </c>
      <c r="C889" s="72" t="str">
        <f>IF(A889&lt;&gt;"",VLOOKUP(A889,'EDC - PRODUCTION'!$A$7:$E$49,5,FALSE),"")</f>
        <v/>
      </c>
      <c r="D889" s="72" t="str">
        <f>IF(A889&lt;&gt;"",VLOOKUP(A889,'EDC - PRODUCTION'!$A$7:$I$49,4,FALSE),"")</f>
        <v/>
      </c>
      <c r="E889" s="44"/>
      <c r="F889" s="45" t="str">
        <f t="shared" si="41"/>
        <v/>
      </c>
      <c r="G889" s="56" t="str">
        <f t="shared" si="42"/>
        <v/>
      </c>
      <c r="H889" s="73"/>
      <c r="I889" s="73"/>
      <c r="J889" s="112" t="str">
        <f t="shared" si="43"/>
        <v/>
      </c>
      <c r="K889" s="68"/>
    </row>
    <row r="890" spans="1:11" x14ac:dyDescent="0.2">
      <c r="A890" s="108"/>
      <c r="B890" s="72" t="str">
        <f>IF(A890&lt;&gt;"",'EDC - PARAMETRAGE'!$A$3,"")</f>
        <v/>
      </c>
      <c r="C890" s="72" t="str">
        <f>IF(A890&lt;&gt;"",VLOOKUP(A890,'EDC - PRODUCTION'!$A$7:$E$49,5,FALSE),"")</f>
        <v/>
      </c>
      <c r="D890" s="72" t="str">
        <f>IF(A890&lt;&gt;"",VLOOKUP(A890,'EDC - PRODUCTION'!$A$7:$I$49,4,FALSE),"")</f>
        <v/>
      </c>
      <c r="E890" s="44"/>
      <c r="F890" s="45" t="str">
        <f t="shared" si="41"/>
        <v/>
      </c>
      <c r="G890" s="56" t="str">
        <f t="shared" si="42"/>
        <v/>
      </c>
      <c r="H890" s="73"/>
      <c r="I890" s="73"/>
      <c r="J890" s="112" t="str">
        <f t="shared" si="43"/>
        <v/>
      </c>
      <c r="K890" s="68"/>
    </row>
    <row r="891" spans="1:11" x14ac:dyDescent="0.2">
      <c r="A891" s="108"/>
      <c r="B891" s="72" t="str">
        <f>IF(A891&lt;&gt;"",'EDC - PARAMETRAGE'!$A$3,"")</f>
        <v/>
      </c>
      <c r="C891" s="72" t="str">
        <f>IF(A891&lt;&gt;"",VLOOKUP(A891,'EDC - PRODUCTION'!$A$7:$E$49,5,FALSE),"")</f>
        <v/>
      </c>
      <c r="D891" s="72" t="str">
        <f>IF(A891&lt;&gt;"",VLOOKUP(A891,'EDC - PRODUCTION'!$A$7:$I$49,4,FALSE),"")</f>
        <v/>
      </c>
      <c r="E891" s="44"/>
      <c r="F891" s="45" t="str">
        <f t="shared" si="41"/>
        <v/>
      </c>
      <c r="G891" s="56" t="str">
        <f t="shared" si="42"/>
        <v/>
      </c>
      <c r="H891" s="73"/>
      <c r="I891" s="73"/>
      <c r="J891" s="112" t="str">
        <f t="shared" si="43"/>
        <v/>
      </c>
      <c r="K891" s="68"/>
    </row>
    <row r="892" spans="1:11" x14ac:dyDescent="0.2">
      <c r="A892" s="108"/>
      <c r="B892" s="72" t="str">
        <f>IF(A892&lt;&gt;"",'EDC - PARAMETRAGE'!$A$3,"")</f>
        <v/>
      </c>
      <c r="C892" s="72" t="str">
        <f>IF(A892&lt;&gt;"",VLOOKUP(A892,'EDC - PRODUCTION'!$A$7:$E$49,5,FALSE),"")</f>
        <v/>
      </c>
      <c r="D892" s="72" t="str">
        <f>IF(A892&lt;&gt;"",VLOOKUP(A892,'EDC - PRODUCTION'!$A$7:$I$49,4,FALSE),"")</f>
        <v/>
      </c>
      <c r="E892" s="44"/>
      <c r="F892" s="45" t="str">
        <f t="shared" si="41"/>
        <v/>
      </c>
      <c r="G892" s="56" t="str">
        <f t="shared" si="42"/>
        <v/>
      </c>
      <c r="H892" s="73"/>
      <c r="I892" s="73"/>
      <c r="J892" s="112" t="str">
        <f t="shared" si="43"/>
        <v/>
      </c>
      <c r="K892" s="68"/>
    </row>
    <row r="893" spans="1:11" x14ac:dyDescent="0.2">
      <c r="A893" s="108"/>
      <c r="B893" s="72" t="str">
        <f>IF(A893&lt;&gt;"",'EDC - PARAMETRAGE'!$A$3,"")</f>
        <v/>
      </c>
      <c r="C893" s="72" t="str">
        <f>IF(A893&lt;&gt;"",VLOOKUP(A893,'EDC - PRODUCTION'!$A$7:$E$49,5,FALSE),"")</f>
        <v/>
      </c>
      <c r="D893" s="72" t="str">
        <f>IF(A893&lt;&gt;"",VLOOKUP(A893,'EDC - PRODUCTION'!$A$7:$I$49,4,FALSE),"")</f>
        <v/>
      </c>
      <c r="E893" s="44"/>
      <c r="F893" s="45" t="str">
        <f t="shared" si="41"/>
        <v/>
      </c>
      <c r="G893" s="56" t="str">
        <f t="shared" si="42"/>
        <v/>
      </c>
      <c r="H893" s="73"/>
      <c r="I893" s="73"/>
      <c r="J893" s="112" t="str">
        <f t="shared" si="43"/>
        <v/>
      </c>
      <c r="K893" s="68"/>
    </row>
    <row r="894" spans="1:11" x14ac:dyDescent="0.2">
      <c r="A894" s="108"/>
      <c r="B894" s="72" t="str">
        <f>IF(A894&lt;&gt;"",'EDC - PARAMETRAGE'!$A$3,"")</f>
        <v/>
      </c>
      <c r="C894" s="72" t="str">
        <f>IF(A894&lt;&gt;"",VLOOKUP(A894,'EDC - PRODUCTION'!$A$7:$E$49,5,FALSE),"")</f>
        <v/>
      </c>
      <c r="D894" s="72" t="str">
        <f>IF(A894&lt;&gt;"",VLOOKUP(A894,'EDC - PRODUCTION'!$A$7:$I$49,4,FALSE),"")</f>
        <v/>
      </c>
      <c r="E894" s="44"/>
      <c r="F894" s="45" t="str">
        <f t="shared" si="41"/>
        <v/>
      </c>
      <c r="G894" s="56" t="str">
        <f t="shared" si="42"/>
        <v/>
      </c>
      <c r="H894" s="73"/>
      <c r="I894" s="73"/>
      <c r="J894" s="112" t="str">
        <f t="shared" si="43"/>
        <v/>
      </c>
      <c r="K894" s="68"/>
    </row>
    <row r="895" spans="1:11" x14ac:dyDescent="0.2">
      <c r="A895" s="108"/>
      <c r="B895" s="72" t="str">
        <f>IF(A895&lt;&gt;"",'EDC - PARAMETRAGE'!$A$3,"")</f>
        <v/>
      </c>
      <c r="C895" s="72" t="str">
        <f>IF(A895&lt;&gt;"",VLOOKUP(A895,'EDC - PRODUCTION'!$A$7:$E$49,5,FALSE),"")</f>
        <v/>
      </c>
      <c r="D895" s="72" t="str">
        <f>IF(A895&lt;&gt;"",VLOOKUP(A895,'EDC - PRODUCTION'!$A$7:$I$49,4,FALSE),"")</f>
        <v/>
      </c>
      <c r="E895" s="44"/>
      <c r="F895" s="45" t="str">
        <f t="shared" si="41"/>
        <v/>
      </c>
      <c r="G895" s="56" t="str">
        <f t="shared" si="42"/>
        <v/>
      </c>
      <c r="H895" s="73"/>
      <c r="I895" s="73"/>
      <c r="J895" s="112" t="str">
        <f t="shared" si="43"/>
        <v/>
      </c>
      <c r="K895" s="68"/>
    </row>
    <row r="896" spans="1:11" x14ac:dyDescent="0.2">
      <c r="A896" s="108"/>
      <c r="B896" s="72" t="str">
        <f>IF(A896&lt;&gt;"",'EDC - PARAMETRAGE'!$A$3,"")</f>
        <v/>
      </c>
      <c r="C896" s="72" t="str">
        <f>IF(A896&lt;&gt;"",VLOOKUP(A896,'EDC - PRODUCTION'!$A$7:$E$49,5,FALSE),"")</f>
        <v/>
      </c>
      <c r="D896" s="72" t="str">
        <f>IF(A896&lt;&gt;"",VLOOKUP(A896,'EDC - PRODUCTION'!$A$7:$I$49,4,FALSE),"")</f>
        <v/>
      </c>
      <c r="E896" s="44"/>
      <c r="F896" s="45" t="str">
        <f t="shared" si="41"/>
        <v/>
      </c>
      <c r="G896" s="56" t="str">
        <f t="shared" si="42"/>
        <v/>
      </c>
      <c r="H896" s="73"/>
      <c r="I896" s="73"/>
      <c r="J896" s="112" t="str">
        <f t="shared" si="43"/>
        <v/>
      </c>
      <c r="K896" s="68"/>
    </row>
    <row r="897" spans="1:11" x14ac:dyDescent="0.2">
      <c r="A897" s="108"/>
      <c r="B897" s="72" t="str">
        <f>IF(A897&lt;&gt;"",'EDC - PARAMETRAGE'!$A$3,"")</f>
        <v/>
      </c>
      <c r="C897" s="72" t="str">
        <f>IF(A897&lt;&gt;"",VLOOKUP(A897,'EDC - PRODUCTION'!$A$7:$E$49,5,FALSE),"")</f>
        <v/>
      </c>
      <c r="D897" s="72" t="str">
        <f>IF(A897&lt;&gt;"",VLOOKUP(A897,'EDC - PRODUCTION'!$A$7:$I$49,4,FALSE),"")</f>
        <v/>
      </c>
      <c r="E897" s="44"/>
      <c r="F897" s="45" t="str">
        <f t="shared" si="41"/>
        <v/>
      </c>
      <c r="G897" s="56" t="str">
        <f t="shared" si="42"/>
        <v/>
      </c>
      <c r="H897" s="73"/>
      <c r="I897" s="73"/>
      <c r="J897" s="112" t="str">
        <f t="shared" si="43"/>
        <v/>
      </c>
      <c r="K897" s="68"/>
    </row>
    <row r="898" spans="1:11" x14ac:dyDescent="0.2">
      <c r="A898" s="108"/>
      <c r="B898" s="72" t="str">
        <f>IF(A898&lt;&gt;"",'EDC - PARAMETRAGE'!$A$3,"")</f>
        <v/>
      </c>
      <c r="C898" s="72" t="str">
        <f>IF(A898&lt;&gt;"",VLOOKUP(A898,'EDC - PRODUCTION'!$A$7:$E$49,5,FALSE),"")</f>
        <v/>
      </c>
      <c r="D898" s="72" t="str">
        <f>IF(A898&lt;&gt;"",VLOOKUP(A898,'EDC - PRODUCTION'!$A$7:$I$49,4,FALSE),"")</f>
        <v/>
      </c>
      <c r="E898" s="44"/>
      <c r="F898" s="45" t="str">
        <f t="shared" si="41"/>
        <v/>
      </c>
      <c r="G898" s="56" t="str">
        <f t="shared" si="42"/>
        <v/>
      </c>
      <c r="H898" s="73"/>
      <c r="I898" s="73"/>
      <c r="J898" s="112" t="str">
        <f t="shared" si="43"/>
        <v/>
      </c>
      <c r="K898" s="68"/>
    </row>
    <row r="899" spans="1:11" x14ac:dyDescent="0.2">
      <c r="A899" s="108"/>
      <c r="B899" s="72" t="str">
        <f>IF(A899&lt;&gt;"",'EDC - PARAMETRAGE'!$A$3,"")</f>
        <v/>
      </c>
      <c r="C899" s="72" t="str">
        <f>IF(A899&lt;&gt;"",VLOOKUP(A899,'EDC - PRODUCTION'!$A$7:$E$49,5,FALSE),"")</f>
        <v/>
      </c>
      <c r="D899" s="72" t="str">
        <f>IF(A899&lt;&gt;"",VLOOKUP(A899,'EDC - PRODUCTION'!$A$7:$I$49,4,FALSE),"")</f>
        <v/>
      </c>
      <c r="E899" s="44"/>
      <c r="F899" s="45" t="str">
        <f t="shared" si="41"/>
        <v/>
      </c>
      <c r="G899" s="56" t="str">
        <f t="shared" si="42"/>
        <v/>
      </c>
      <c r="H899" s="73"/>
      <c r="I899" s="73"/>
      <c r="J899" s="112" t="str">
        <f t="shared" si="43"/>
        <v/>
      </c>
      <c r="K899" s="68"/>
    </row>
    <row r="900" spans="1:11" x14ac:dyDescent="0.2">
      <c r="A900" s="108"/>
      <c r="B900" s="72" t="str">
        <f>IF(A900&lt;&gt;"",'EDC - PARAMETRAGE'!$A$3,"")</f>
        <v/>
      </c>
      <c r="C900" s="72" t="str">
        <f>IF(A900&lt;&gt;"",VLOOKUP(A900,'EDC - PRODUCTION'!$A$7:$E$49,5,FALSE),"")</f>
        <v/>
      </c>
      <c r="D900" s="72" t="str">
        <f>IF(A900&lt;&gt;"",VLOOKUP(A900,'EDC - PRODUCTION'!$A$7:$I$49,4,FALSE),"")</f>
        <v/>
      </c>
      <c r="E900" s="44"/>
      <c r="F900" s="45" t="str">
        <f t="shared" ref="F900:F963" si="44">IF(A900&lt;&gt;"","DDE","")</f>
        <v/>
      </c>
      <c r="G900" s="56" t="str">
        <f t="shared" ref="G900:G963" si="45">IF(A900&lt;&gt;"",1,"")</f>
        <v/>
      </c>
      <c r="H900" s="73"/>
      <c r="I900" s="73"/>
      <c r="J900" s="112" t="str">
        <f t="shared" ref="J900:J963" si="46">IF(A900&lt;&gt;"",SUM(H900:I900),"")</f>
        <v/>
      </c>
      <c r="K900" s="68"/>
    </row>
    <row r="901" spans="1:11" x14ac:dyDescent="0.2">
      <c r="A901" s="108"/>
      <c r="B901" s="72" t="str">
        <f>IF(A901&lt;&gt;"",'EDC - PARAMETRAGE'!$A$3,"")</f>
        <v/>
      </c>
      <c r="C901" s="72" t="str">
        <f>IF(A901&lt;&gt;"",VLOOKUP(A901,'EDC - PRODUCTION'!$A$7:$E$49,5,FALSE),"")</f>
        <v/>
      </c>
      <c r="D901" s="72" t="str">
        <f>IF(A901&lt;&gt;"",VLOOKUP(A901,'EDC - PRODUCTION'!$A$7:$I$49,4,FALSE),"")</f>
        <v/>
      </c>
      <c r="E901" s="44"/>
      <c r="F901" s="45" t="str">
        <f t="shared" si="44"/>
        <v/>
      </c>
      <c r="G901" s="56" t="str">
        <f t="shared" si="45"/>
        <v/>
      </c>
      <c r="H901" s="73"/>
      <c r="I901" s="73"/>
      <c r="J901" s="112" t="str">
        <f t="shared" si="46"/>
        <v/>
      </c>
      <c r="K901" s="68"/>
    </row>
    <row r="902" spans="1:11" x14ac:dyDescent="0.2">
      <c r="A902" s="108"/>
      <c r="B902" s="72" t="str">
        <f>IF(A902&lt;&gt;"",'EDC - PARAMETRAGE'!$A$3,"")</f>
        <v/>
      </c>
      <c r="C902" s="72" t="str">
        <f>IF(A902&lt;&gt;"",VLOOKUP(A902,'EDC - PRODUCTION'!$A$7:$E$49,5,FALSE),"")</f>
        <v/>
      </c>
      <c r="D902" s="72" t="str">
        <f>IF(A902&lt;&gt;"",VLOOKUP(A902,'EDC - PRODUCTION'!$A$7:$I$49,4,FALSE),"")</f>
        <v/>
      </c>
      <c r="E902" s="44"/>
      <c r="F902" s="45" t="str">
        <f t="shared" si="44"/>
        <v/>
      </c>
      <c r="G902" s="56" t="str">
        <f t="shared" si="45"/>
        <v/>
      </c>
      <c r="H902" s="73"/>
      <c r="I902" s="73"/>
      <c r="J902" s="112" t="str">
        <f t="shared" si="46"/>
        <v/>
      </c>
      <c r="K902" s="68"/>
    </row>
    <row r="903" spans="1:11" x14ac:dyDescent="0.2">
      <c r="A903" s="108"/>
      <c r="B903" s="72" t="str">
        <f>IF(A903&lt;&gt;"",'EDC - PARAMETRAGE'!$A$3,"")</f>
        <v/>
      </c>
      <c r="C903" s="72" t="str">
        <f>IF(A903&lt;&gt;"",VLOOKUP(A903,'EDC - PRODUCTION'!$A$7:$E$49,5,FALSE),"")</f>
        <v/>
      </c>
      <c r="D903" s="72" t="str">
        <f>IF(A903&lt;&gt;"",VLOOKUP(A903,'EDC - PRODUCTION'!$A$7:$I$49,4,FALSE),"")</f>
        <v/>
      </c>
      <c r="E903" s="44"/>
      <c r="F903" s="45" t="str">
        <f t="shared" si="44"/>
        <v/>
      </c>
      <c r="G903" s="56" t="str">
        <f t="shared" si="45"/>
        <v/>
      </c>
      <c r="H903" s="73"/>
      <c r="I903" s="73"/>
      <c r="J903" s="112" t="str">
        <f t="shared" si="46"/>
        <v/>
      </c>
      <c r="K903" s="68"/>
    </row>
    <row r="904" spans="1:11" x14ac:dyDescent="0.2">
      <c r="A904" s="108"/>
      <c r="B904" s="72" t="str">
        <f>IF(A904&lt;&gt;"",'EDC - PARAMETRAGE'!$A$3,"")</f>
        <v/>
      </c>
      <c r="C904" s="72" t="str">
        <f>IF(A904&lt;&gt;"",VLOOKUP(A904,'EDC - PRODUCTION'!$A$7:$E$49,5,FALSE),"")</f>
        <v/>
      </c>
      <c r="D904" s="72" t="str">
        <f>IF(A904&lt;&gt;"",VLOOKUP(A904,'EDC - PRODUCTION'!$A$7:$I$49,4,FALSE),"")</f>
        <v/>
      </c>
      <c r="E904" s="44"/>
      <c r="F904" s="45" t="str">
        <f t="shared" si="44"/>
        <v/>
      </c>
      <c r="G904" s="56" t="str">
        <f t="shared" si="45"/>
        <v/>
      </c>
      <c r="H904" s="73"/>
      <c r="I904" s="73"/>
      <c r="J904" s="112" t="str">
        <f t="shared" si="46"/>
        <v/>
      </c>
      <c r="K904" s="68"/>
    </row>
    <row r="905" spans="1:11" x14ac:dyDescent="0.2">
      <c r="A905" s="108"/>
      <c r="B905" s="72" t="str">
        <f>IF(A905&lt;&gt;"",'EDC - PARAMETRAGE'!$A$3,"")</f>
        <v/>
      </c>
      <c r="C905" s="72" t="str">
        <f>IF(A905&lt;&gt;"",VLOOKUP(A905,'EDC - PRODUCTION'!$A$7:$E$49,5,FALSE),"")</f>
        <v/>
      </c>
      <c r="D905" s="72" t="str">
        <f>IF(A905&lt;&gt;"",VLOOKUP(A905,'EDC - PRODUCTION'!$A$7:$I$49,4,FALSE),"")</f>
        <v/>
      </c>
      <c r="E905" s="44"/>
      <c r="F905" s="45" t="str">
        <f t="shared" si="44"/>
        <v/>
      </c>
      <c r="G905" s="56" t="str">
        <f t="shared" si="45"/>
        <v/>
      </c>
      <c r="H905" s="73"/>
      <c r="I905" s="73"/>
      <c r="J905" s="112" t="str">
        <f t="shared" si="46"/>
        <v/>
      </c>
      <c r="K905" s="68"/>
    </row>
    <row r="906" spans="1:11" x14ac:dyDescent="0.2">
      <c r="A906" s="108"/>
      <c r="B906" s="72" t="str">
        <f>IF(A906&lt;&gt;"",'EDC - PARAMETRAGE'!$A$3,"")</f>
        <v/>
      </c>
      <c r="C906" s="72" t="str">
        <f>IF(A906&lt;&gt;"",VLOOKUP(A906,'EDC - PRODUCTION'!$A$7:$E$49,5,FALSE),"")</f>
        <v/>
      </c>
      <c r="D906" s="72" t="str">
        <f>IF(A906&lt;&gt;"",VLOOKUP(A906,'EDC - PRODUCTION'!$A$7:$I$49,4,FALSE),"")</f>
        <v/>
      </c>
      <c r="E906" s="44"/>
      <c r="F906" s="45" t="str">
        <f t="shared" si="44"/>
        <v/>
      </c>
      <c r="G906" s="56" t="str">
        <f t="shared" si="45"/>
        <v/>
      </c>
      <c r="H906" s="73"/>
      <c r="I906" s="73"/>
      <c r="J906" s="112" t="str">
        <f t="shared" si="46"/>
        <v/>
      </c>
      <c r="K906" s="68"/>
    </row>
    <row r="907" spans="1:11" x14ac:dyDescent="0.2">
      <c r="A907" s="108"/>
      <c r="B907" s="72" t="str">
        <f>IF(A907&lt;&gt;"",'EDC - PARAMETRAGE'!$A$3,"")</f>
        <v/>
      </c>
      <c r="C907" s="72" t="str">
        <f>IF(A907&lt;&gt;"",VLOOKUP(A907,'EDC - PRODUCTION'!$A$7:$E$49,5,FALSE),"")</f>
        <v/>
      </c>
      <c r="D907" s="72" t="str">
        <f>IF(A907&lt;&gt;"",VLOOKUP(A907,'EDC - PRODUCTION'!$A$7:$I$49,4,FALSE),"")</f>
        <v/>
      </c>
      <c r="E907" s="44"/>
      <c r="F907" s="45" t="str">
        <f t="shared" si="44"/>
        <v/>
      </c>
      <c r="G907" s="56" t="str">
        <f t="shared" si="45"/>
        <v/>
      </c>
      <c r="H907" s="73"/>
      <c r="I907" s="73"/>
      <c r="J907" s="112" t="str">
        <f t="shared" si="46"/>
        <v/>
      </c>
      <c r="K907" s="68"/>
    </row>
    <row r="908" spans="1:11" x14ac:dyDescent="0.2">
      <c r="A908" s="108"/>
      <c r="B908" s="72" t="str">
        <f>IF(A908&lt;&gt;"",'EDC - PARAMETRAGE'!$A$3,"")</f>
        <v/>
      </c>
      <c r="C908" s="72" t="str">
        <f>IF(A908&lt;&gt;"",VLOOKUP(A908,'EDC - PRODUCTION'!$A$7:$E$49,5,FALSE),"")</f>
        <v/>
      </c>
      <c r="D908" s="72" t="str">
        <f>IF(A908&lt;&gt;"",VLOOKUP(A908,'EDC - PRODUCTION'!$A$7:$I$49,4,FALSE),"")</f>
        <v/>
      </c>
      <c r="E908" s="44"/>
      <c r="F908" s="45" t="str">
        <f t="shared" si="44"/>
        <v/>
      </c>
      <c r="G908" s="56" t="str">
        <f t="shared" si="45"/>
        <v/>
      </c>
      <c r="H908" s="73"/>
      <c r="I908" s="73"/>
      <c r="J908" s="112" t="str">
        <f t="shared" si="46"/>
        <v/>
      </c>
      <c r="K908" s="68"/>
    </row>
    <row r="909" spans="1:11" x14ac:dyDescent="0.2">
      <c r="A909" s="108"/>
      <c r="B909" s="72" t="str">
        <f>IF(A909&lt;&gt;"",'EDC - PARAMETRAGE'!$A$3,"")</f>
        <v/>
      </c>
      <c r="C909" s="72" t="str">
        <f>IF(A909&lt;&gt;"",VLOOKUP(A909,'EDC - PRODUCTION'!$A$7:$E$49,5,FALSE),"")</f>
        <v/>
      </c>
      <c r="D909" s="72" t="str">
        <f>IF(A909&lt;&gt;"",VLOOKUP(A909,'EDC - PRODUCTION'!$A$7:$I$49,4,FALSE),"")</f>
        <v/>
      </c>
      <c r="E909" s="44"/>
      <c r="F909" s="45" t="str">
        <f t="shared" si="44"/>
        <v/>
      </c>
      <c r="G909" s="56" t="str">
        <f t="shared" si="45"/>
        <v/>
      </c>
      <c r="H909" s="73"/>
      <c r="I909" s="73"/>
      <c r="J909" s="112" t="str">
        <f t="shared" si="46"/>
        <v/>
      </c>
      <c r="K909" s="68"/>
    </row>
    <row r="910" spans="1:11" x14ac:dyDescent="0.2">
      <c r="A910" s="108"/>
      <c r="B910" s="72" t="str">
        <f>IF(A910&lt;&gt;"",'EDC - PARAMETRAGE'!$A$3,"")</f>
        <v/>
      </c>
      <c r="C910" s="72" t="str">
        <f>IF(A910&lt;&gt;"",VLOOKUP(A910,'EDC - PRODUCTION'!$A$7:$E$49,5,FALSE),"")</f>
        <v/>
      </c>
      <c r="D910" s="72" t="str">
        <f>IF(A910&lt;&gt;"",VLOOKUP(A910,'EDC - PRODUCTION'!$A$7:$I$49,4,FALSE),"")</f>
        <v/>
      </c>
      <c r="E910" s="44"/>
      <c r="F910" s="45" t="str">
        <f t="shared" si="44"/>
        <v/>
      </c>
      <c r="G910" s="56" t="str">
        <f t="shared" si="45"/>
        <v/>
      </c>
      <c r="H910" s="73"/>
      <c r="I910" s="73"/>
      <c r="J910" s="112" t="str">
        <f t="shared" si="46"/>
        <v/>
      </c>
      <c r="K910" s="68"/>
    </row>
    <row r="911" spans="1:11" x14ac:dyDescent="0.2">
      <c r="A911" s="108"/>
      <c r="B911" s="72" t="str">
        <f>IF(A911&lt;&gt;"",'EDC - PARAMETRAGE'!$A$3,"")</f>
        <v/>
      </c>
      <c r="C911" s="72" t="str">
        <f>IF(A911&lt;&gt;"",VLOOKUP(A911,'EDC - PRODUCTION'!$A$7:$E$49,5,FALSE),"")</f>
        <v/>
      </c>
      <c r="D911" s="72" t="str">
        <f>IF(A911&lt;&gt;"",VLOOKUP(A911,'EDC - PRODUCTION'!$A$7:$I$49,4,FALSE),"")</f>
        <v/>
      </c>
      <c r="E911" s="44"/>
      <c r="F911" s="45" t="str">
        <f t="shared" si="44"/>
        <v/>
      </c>
      <c r="G911" s="56" t="str">
        <f t="shared" si="45"/>
        <v/>
      </c>
      <c r="H911" s="73"/>
      <c r="I911" s="73"/>
      <c r="J911" s="112" t="str">
        <f t="shared" si="46"/>
        <v/>
      </c>
      <c r="K911" s="68"/>
    </row>
    <row r="912" spans="1:11" x14ac:dyDescent="0.2">
      <c r="A912" s="108"/>
      <c r="B912" s="72" t="str">
        <f>IF(A912&lt;&gt;"",'EDC - PARAMETRAGE'!$A$3,"")</f>
        <v/>
      </c>
      <c r="C912" s="72" t="str">
        <f>IF(A912&lt;&gt;"",VLOOKUP(A912,'EDC - PRODUCTION'!$A$7:$E$49,5,FALSE),"")</f>
        <v/>
      </c>
      <c r="D912" s="72" t="str">
        <f>IF(A912&lt;&gt;"",VLOOKUP(A912,'EDC - PRODUCTION'!$A$7:$I$49,4,FALSE),"")</f>
        <v/>
      </c>
      <c r="E912" s="44"/>
      <c r="F912" s="45" t="str">
        <f t="shared" si="44"/>
        <v/>
      </c>
      <c r="G912" s="56" t="str">
        <f t="shared" si="45"/>
        <v/>
      </c>
      <c r="H912" s="73"/>
      <c r="I912" s="73"/>
      <c r="J912" s="112" t="str">
        <f t="shared" si="46"/>
        <v/>
      </c>
      <c r="K912" s="68"/>
    </row>
    <row r="913" spans="1:11" x14ac:dyDescent="0.2">
      <c r="A913" s="108"/>
      <c r="B913" s="72" t="str">
        <f>IF(A913&lt;&gt;"",'EDC - PARAMETRAGE'!$A$3,"")</f>
        <v/>
      </c>
      <c r="C913" s="72" t="str">
        <f>IF(A913&lt;&gt;"",VLOOKUP(A913,'EDC - PRODUCTION'!$A$7:$E$49,5,FALSE),"")</f>
        <v/>
      </c>
      <c r="D913" s="72" t="str">
        <f>IF(A913&lt;&gt;"",VLOOKUP(A913,'EDC - PRODUCTION'!$A$7:$I$49,4,FALSE),"")</f>
        <v/>
      </c>
      <c r="E913" s="44"/>
      <c r="F913" s="45" t="str">
        <f t="shared" si="44"/>
        <v/>
      </c>
      <c r="G913" s="56" t="str">
        <f t="shared" si="45"/>
        <v/>
      </c>
      <c r="H913" s="73"/>
      <c r="I913" s="73"/>
      <c r="J913" s="112" t="str">
        <f t="shared" si="46"/>
        <v/>
      </c>
      <c r="K913" s="68"/>
    </row>
    <row r="914" spans="1:11" x14ac:dyDescent="0.2">
      <c r="A914" s="108"/>
      <c r="B914" s="72" t="str">
        <f>IF(A914&lt;&gt;"",'EDC - PARAMETRAGE'!$A$3,"")</f>
        <v/>
      </c>
      <c r="C914" s="72" t="str">
        <f>IF(A914&lt;&gt;"",VLOOKUP(A914,'EDC - PRODUCTION'!$A$7:$E$49,5,FALSE),"")</f>
        <v/>
      </c>
      <c r="D914" s="72" t="str">
        <f>IF(A914&lt;&gt;"",VLOOKUP(A914,'EDC - PRODUCTION'!$A$7:$I$49,4,FALSE),"")</f>
        <v/>
      </c>
      <c r="E914" s="44"/>
      <c r="F914" s="45" t="str">
        <f t="shared" si="44"/>
        <v/>
      </c>
      <c r="G914" s="56" t="str">
        <f t="shared" si="45"/>
        <v/>
      </c>
      <c r="H914" s="73"/>
      <c r="I914" s="73"/>
      <c r="J914" s="112" t="str">
        <f t="shared" si="46"/>
        <v/>
      </c>
      <c r="K914" s="68"/>
    </row>
    <row r="915" spans="1:11" x14ac:dyDescent="0.2">
      <c r="A915" s="108"/>
      <c r="B915" s="72" t="str">
        <f>IF(A915&lt;&gt;"",'EDC - PARAMETRAGE'!$A$3,"")</f>
        <v/>
      </c>
      <c r="C915" s="72" t="str">
        <f>IF(A915&lt;&gt;"",VLOOKUP(A915,'EDC - PRODUCTION'!$A$7:$E$49,5,FALSE),"")</f>
        <v/>
      </c>
      <c r="D915" s="72" t="str">
        <f>IF(A915&lt;&gt;"",VLOOKUP(A915,'EDC - PRODUCTION'!$A$7:$I$49,4,FALSE),"")</f>
        <v/>
      </c>
      <c r="E915" s="44"/>
      <c r="F915" s="45" t="str">
        <f t="shared" si="44"/>
        <v/>
      </c>
      <c r="G915" s="56" t="str">
        <f t="shared" si="45"/>
        <v/>
      </c>
      <c r="H915" s="73"/>
      <c r="I915" s="73"/>
      <c r="J915" s="112" t="str">
        <f t="shared" si="46"/>
        <v/>
      </c>
      <c r="K915" s="68"/>
    </row>
    <row r="916" spans="1:11" x14ac:dyDescent="0.2">
      <c r="A916" s="108"/>
      <c r="B916" s="72" t="str">
        <f>IF(A916&lt;&gt;"",'EDC - PARAMETRAGE'!$A$3,"")</f>
        <v/>
      </c>
      <c r="C916" s="72" t="str">
        <f>IF(A916&lt;&gt;"",VLOOKUP(A916,'EDC - PRODUCTION'!$A$7:$E$49,5,FALSE),"")</f>
        <v/>
      </c>
      <c r="D916" s="72" t="str">
        <f>IF(A916&lt;&gt;"",VLOOKUP(A916,'EDC - PRODUCTION'!$A$7:$I$49,4,FALSE),"")</f>
        <v/>
      </c>
      <c r="E916" s="44"/>
      <c r="F916" s="45" t="str">
        <f t="shared" si="44"/>
        <v/>
      </c>
      <c r="G916" s="56" t="str">
        <f t="shared" si="45"/>
        <v/>
      </c>
      <c r="H916" s="73"/>
      <c r="I916" s="73"/>
      <c r="J916" s="112" t="str">
        <f t="shared" si="46"/>
        <v/>
      </c>
      <c r="K916" s="68"/>
    </row>
    <row r="917" spans="1:11" x14ac:dyDescent="0.2">
      <c r="A917" s="108"/>
      <c r="B917" s="72" t="str">
        <f>IF(A917&lt;&gt;"",'EDC - PARAMETRAGE'!$A$3,"")</f>
        <v/>
      </c>
      <c r="C917" s="72" t="str">
        <f>IF(A917&lt;&gt;"",VLOOKUP(A917,'EDC - PRODUCTION'!$A$7:$E$49,5,FALSE),"")</f>
        <v/>
      </c>
      <c r="D917" s="72" t="str">
        <f>IF(A917&lt;&gt;"",VLOOKUP(A917,'EDC - PRODUCTION'!$A$7:$I$49,4,FALSE),"")</f>
        <v/>
      </c>
      <c r="E917" s="44"/>
      <c r="F917" s="45" t="str">
        <f t="shared" si="44"/>
        <v/>
      </c>
      <c r="G917" s="56" t="str">
        <f t="shared" si="45"/>
        <v/>
      </c>
      <c r="H917" s="73"/>
      <c r="I917" s="73"/>
      <c r="J917" s="112" t="str">
        <f t="shared" si="46"/>
        <v/>
      </c>
      <c r="K917" s="68"/>
    </row>
    <row r="918" spans="1:11" x14ac:dyDescent="0.2">
      <c r="A918" s="108"/>
      <c r="B918" s="72" t="str">
        <f>IF(A918&lt;&gt;"",'EDC - PARAMETRAGE'!$A$3,"")</f>
        <v/>
      </c>
      <c r="C918" s="72" t="str">
        <f>IF(A918&lt;&gt;"",VLOOKUP(A918,'EDC - PRODUCTION'!$A$7:$E$49,5,FALSE),"")</f>
        <v/>
      </c>
      <c r="D918" s="72" t="str">
        <f>IF(A918&lt;&gt;"",VLOOKUP(A918,'EDC - PRODUCTION'!$A$7:$I$49,4,FALSE),"")</f>
        <v/>
      </c>
      <c r="E918" s="44"/>
      <c r="F918" s="45" t="str">
        <f t="shared" si="44"/>
        <v/>
      </c>
      <c r="G918" s="56" t="str">
        <f t="shared" si="45"/>
        <v/>
      </c>
      <c r="H918" s="73"/>
      <c r="I918" s="73"/>
      <c r="J918" s="112" t="str">
        <f t="shared" si="46"/>
        <v/>
      </c>
      <c r="K918" s="68"/>
    </row>
    <row r="919" spans="1:11" x14ac:dyDescent="0.2">
      <c r="A919" s="108"/>
      <c r="B919" s="72" t="str">
        <f>IF(A919&lt;&gt;"",'EDC - PARAMETRAGE'!$A$3,"")</f>
        <v/>
      </c>
      <c r="C919" s="72" t="str">
        <f>IF(A919&lt;&gt;"",VLOOKUP(A919,'EDC - PRODUCTION'!$A$7:$E$49,5,FALSE),"")</f>
        <v/>
      </c>
      <c r="D919" s="72" t="str">
        <f>IF(A919&lt;&gt;"",VLOOKUP(A919,'EDC - PRODUCTION'!$A$7:$I$49,4,FALSE),"")</f>
        <v/>
      </c>
      <c r="E919" s="44"/>
      <c r="F919" s="45" t="str">
        <f t="shared" si="44"/>
        <v/>
      </c>
      <c r="G919" s="56" t="str">
        <f t="shared" si="45"/>
        <v/>
      </c>
      <c r="H919" s="73"/>
      <c r="I919" s="73"/>
      <c r="J919" s="112" t="str">
        <f t="shared" si="46"/>
        <v/>
      </c>
      <c r="K919" s="68"/>
    </row>
    <row r="920" spans="1:11" x14ac:dyDescent="0.2">
      <c r="A920" s="108"/>
      <c r="B920" s="72" t="str">
        <f>IF(A920&lt;&gt;"",'EDC - PARAMETRAGE'!$A$3,"")</f>
        <v/>
      </c>
      <c r="C920" s="72" t="str">
        <f>IF(A920&lt;&gt;"",VLOOKUP(A920,'EDC - PRODUCTION'!$A$7:$E$49,5,FALSE),"")</f>
        <v/>
      </c>
      <c r="D920" s="72" t="str">
        <f>IF(A920&lt;&gt;"",VLOOKUP(A920,'EDC - PRODUCTION'!$A$7:$I$49,4,FALSE),"")</f>
        <v/>
      </c>
      <c r="E920" s="44"/>
      <c r="F920" s="45" t="str">
        <f t="shared" si="44"/>
        <v/>
      </c>
      <c r="G920" s="56" t="str">
        <f t="shared" si="45"/>
        <v/>
      </c>
      <c r="H920" s="73"/>
      <c r="I920" s="73"/>
      <c r="J920" s="112" t="str">
        <f t="shared" si="46"/>
        <v/>
      </c>
      <c r="K920" s="68"/>
    </row>
    <row r="921" spans="1:11" x14ac:dyDescent="0.2">
      <c r="A921" s="108"/>
      <c r="B921" s="72" t="str">
        <f>IF(A921&lt;&gt;"",'EDC - PARAMETRAGE'!$A$3,"")</f>
        <v/>
      </c>
      <c r="C921" s="72" t="str">
        <f>IF(A921&lt;&gt;"",VLOOKUP(A921,'EDC - PRODUCTION'!$A$7:$E$49,5,FALSE),"")</f>
        <v/>
      </c>
      <c r="D921" s="72" t="str">
        <f>IF(A921&lt;&gt;"",VLOOKUP(A921,'EDC - PRODUCTION'!$A$7:$I$49,4,FALSE),"")</f>
        <v/>
      </c>
      <c r="E921" s="44"/>
      <c r="F921" s="45" t="str">
        <f t="shared" si="44"/>
        <v/>
      </c>
      <c r="G921" s="56" t="str">
        <f t="shared" si="45"/>
        <v/>
      </c>
      <c r="H921" s="73"/>
      <c r="I921" s="73"/>
      <c r="J921" s="112" t="str">
        <f t="shared" si="46"/>
        <v/>
      </c>
      <c r="K921" s="68"/>
    </row>
    <row r="922" spans="1:11" x14ac:dyDescent="0.2">
      <c r="A922" s="108"/>
      <c r="B922" s="72" t="str">
        <f>IF(A922&lt;&gt;"",'EDC - PARAMETRAGE'!$A$3,"")</f>
        <v/>
      </c>
      <c r="C922" s="72" t="str">
        <f>IF(A922&lt;&gt;"",VLOOKUP(A922,'EDC - PRODUCTION'!$A$7:$E$49,5,FALSE),"")</f>
        <v/>
      </c>
      <c r="D922" s="72" t="str">
        <f>IF(A922&lt;&gt;"",VLOOKUP(A922,'EDC - PRODUCTION'!$A$7:$I$49,4,FALSE),"")</f>
        <v/>
      </c>
      <c r="E922" s="44"/>
      <c r="F922" s="45" t="str">
        <f t="shared" si="44"/>
        <v/>
      </c>
      <c r="G922" s="56" t="str">
        <f t="shared" si="45"/>
        <v/>
      </c>
      <c r="H922" s="73"/>
      <c r="I922" s="73"/>
      <c r="J922" s="112" t="str">
        <f t="shared" si="46"/>
        <v/>
      </c>
      <c r="K922" s="68"/>
    </row>
    <row r="923" spans="1:11" x14ac:dyDescent="0.2">
      <c r="A923" s="108"/>
      <c r="B923" s="72" t="str">
        <f>IF(A923&lt;&gt;"",'EDC - PARAMETRAGE'!$A$3,"")</f>
        <v/>
      </c>
      <c r="C923" s="72" t="str">
        <f>IF(A923&lt;&gt;"",VLOOKUP(A923,'EDC - PRODUCTION'!$A$7:$E$49,5,FALSE),"")</f>
        <v/>
      </c>
      <c r="D923" s="72" t="str">
        <f>IF(A923&lt;&gt;"",VLOOKUP(A923,'EDC - PRODUCTION'!$A$7:$I$49,4,FALSE),"")</f>
        <v/>
      </c>
      <c r="E923" s="44"/>
      <c r="F923" s="45" t="str">
        <f t="shared" si="44"/>
        <v/>
      </c>
      <c r="G923" s="56" t="str">
        <f t="shared" si="45"/>
        <v/>
      </c>
      <c r="H923" s="73"/>
      <c r="I923" s="73"/>
      <c r="J923" s="112" t="str">
        <f t="shared" si="46"/>
        <v/>
      </c>
      <c r="K923" s="68"/>
    </row>
    <row r="924" spans="1:11" x14ac:dyDescent="0.2">
      <c r="A924" s="108"/>
      <c r="B924" s="72" t="str">
        <f>IF(A924&lt;&gt;"",'EDC - PARAMETRAGE'!$A$3,"")</f>
        <v/>
      </c>
      <c r="C924" s="72" t="str">
        <f>IF(A924&lt;&gt;"",VLOOKUP(A924,'EDC - PRODUCTION'!$A$7:$E$49,5,FALSE),"")</f>
        <v/>
      </c>
      <c r="D924" s="72" t="str">
        <f>IF(A924&lt;&gt;"",VLOOKUP(A924,'EDC - PRODUCTION'!$A$7:$I$49,4,FALSE),"")</f>
        <v/>
      </c>
      <c r="E924" s="44"/>
      <c r="F924" s="45" t="str">
        <f t="shared" si="44"/>
        <v/>
      </c>
      <c r="G924" s="56" t="str">
        <f t="shared" si="45"/>
        <v/>
      </c>
      <c r="H924" s="73"/>
      <c r="I924" s="73"/>
      <c r="J924" s="112" t="str">
        <f t="shared" si="46"/>
        <v/>
      </c>
      <c r="K924" s="68"/>
    </row>
    <row r="925" spans="1:11" x14ac:dyDescent="0.2">
      <c r="A925" s="108"/>
      <c r="B925" s="72" t="str">
        <f>IF(A925&lt;&gt;"",'EDC - PARAMETRAGE'!$A$3,"")</f>
        <v/>
      </c>
      <c r="C925" s="72" t="str">
        <f>IF(A925&lt;&gt;"",VLOOKUP(A925,'EDC - PRODUCTION'!$A$7:$E$49,5,FALSE),"")</f>
        <v/>
      </c>
      <c r="D925" s="72" t="str">
        <f>IF(A925&lt;&gt;"",VLOOKUP(A925,'EDC - PRODUCTION'!$A$7:$I$49,4,FALSE),"")</f>
        <v/>
      </c>
      <c r="E925" s="44"/>
      <c r="F925" s="45" t="str">
        <f t="shared" si="44"/>
        <v/>
      </c>
      <c r="G925" s="56" t="str">
        <f t="shared" si="45"/>
        <v/>
      </c>
      <c r="H925" s="73"/>
      <c r="I925" s="73"/>
      <c r="J925" s="112" t="str">
        <f t="shared" si="46"/>
        <v/>
      </c>
      <c r="K925" s="68"/>
    </row>
    <row r="926" spans="1:11" x14ac:dyDescent="0.2">
      <c r="A926" s="108"/>
      <c r="B926" s="72" t="str">
        <f>IF(A926&lt;&gt;"",'EDC - PARAMETRAGE'!$A$3,"")</f>
        <v/>
      </c>
      <c r="C926" s="72" t="str">
        <f>IF(A926&lt;&gt;"",VLOOKUP(A926,'EDC - PRODUCTION'!$A$7:$E$49,5,FALSE),"")</f>
        <v/>
      </c>
      <c r="D926" s="72" t="str">
        <f>IF(A926&lt;&gt;"",VLOOKUP(A926,'EDC - PRODUCTION'!$A$7:$I$49,4,FALSE),"")</f>
        <v/>
      </c>
      <c r="E926" s="44"/>
      <c r="F926" s="45" t="str">
        <f t="shared" si="44"/>
        <v/>
      </c>
      <c r="G926" s="56" t="str">
        <f t="shared" si="45"/>
        <v/>
      </c>
      <c r="H926" s="73"/>
      <c r="I926" s="73"/>
      <c r="J926" s="112" t="str">
        <f t="shared" si="46"/>
        <v/>
      </c>
      <c r="K926" s="68"/>
    </row>
    <row r="927" spans="1:11" x14ac:dyDescent="0.2">
      <c r="A927" s="108"/>
      <c r="B927" s="72" t="str">
        <f>IF(A927&lt;&gt;"",'EDC - PARAMETRAGE'!$A$3,"")</f>
        <v/>
      </c>
      <c r="C927" s="72" t="str">
        <f>IF(A927&lt;&gt;"",VLOOKUP(A927,'EDC - PRODUCTION'!$A$7:$E$49,5,FALSE),"")</f>
        <v/>
      </c>
      <c r="D927" s="72" t="str">
        <f>IF(A927&lt;&gt;"",VLOOKUP(A927,'EDC - PRODUCTION'!$A$7:$I$49,4,FALSE),"")</f>
        <v/>
      </c>
      <c r="E927" s="44"/>
      <c r="F927" s="45" t="str">
        <f t="shared" si="44"/>
        <v/>
      </c>
      <c r="G927" s="56" t="str">
        <f t="shared" si="45"/>
        <v/>
      </c>
      <c r="H927" s="73"/>
      <c r="I927" s="73"/>
      <c r="J927" s="112" t="str">
        <f t="shared" si="46"/>
        <v/>
      </c>
      <c r="K927" s="68"/>
    </row>
    <row r="928" spans="1:11" x14ac:dyDescent="0.2">
      <c r="A928" s="108"/>
      <c r="B928" s="72" t="str">
        <f>IF(A928&lt;&gt;"",'EDC - PARAMETRAGE'!$A$3,"")</f>
        <v/>
      </c>
      <c r="C928" s="72" t="str">
        <f>IF(A928&lt;&gt;"",VLOOKUP(A928,'EDC - PRODUCTION'!$A$7:$E$49,5,FALSE),"")</f>
        <v/>
      </c>
      <c r="D928" s="72" t="str">
        <f>IF(A928&lt;&gt;"",VLOOKUP(A928,'EDC - PRODUCTION'!$A$7:$I$49,4,FALSE),"")</f>
        <v/>
      </c>
      <c r="E928" s="44"/>
      <c r="F928" s="45" t="str">
        <f t="shared" si="44"/>
        <v/>
      </c>
      <c r="G928" s="56" t="str">
        <f t="shared" si="45"/>
        <v/>
      </c>
      <c r="H928" s="73"/>
      <c r="I928" s="73"/>
      <c r="J928" s="112" t="str">
        <f t="shared" si="46"/>
        <v/>
      </c>
      <c r="K928" s="68"/>
    </row>
    <row r="929" spans="1:11" x14ac:dyDescent="0.2">
      <c r="A929" s="108"/>
      <c r="B929" s="72" t="str">
        <f>IF(A929&lt;&gt;"",'EDC - PARAMETRAGE'!$A$3,"")</f>
        <v/>
      </c>
      <c r="C929" s="72" t="str">
        <f>IF(A929&lt;&gt;"",VLOOKUP(A929,'EDC - PRODUCTION'!$A$7:$E$49,5,FALSE),"")</f>
        <v/>
      </c>
      <c r="D929" s="72" t="str">
        <f>IF(A929&lt;&gt;"",VLOOKUP(A929,'EDC - PRODUCTION'!$A$7:$I$49,4,FALSE),"")</f>
        <v/>
      </c>
      <c r="E929" s="44"/>
      <c r="F929" s="45" t="str">
        <f t="shared" si="44"/>
        <v/>
      </c>
      <c r="G929" s="56" t="str">
        <f t="shared" si="45"/>
        <v/>
      </c>
      <c r="H929" s="73"/>
      <c r="I929" s="73"/>
      <c r="J929" s="112" t="str">
        <f t="shared" si="46"/>
        <v/>
      </c>
      <c r="K929" s="68"/>
    </row>
    <row r="930" spans="1:11" x14ac:dyDescent="0.2">
      <c r="A930" s="108"/>
      <c r="B930" s="72" t="str">
        <f>IF(A930&lt;&gt;"",'EDC - PARAMETRAGE'!$A$3,"")</f>
        <v/>
      </c>
      <c r="C930" s="72" t="str">
        <f>IF(A930&lt;&gt;"",VLOOKUP(A930,'EDC - PRODUCTION'!$A$7:$E$49,5,FALSE),"")</f>
        <v/>
      </c>
      <c r="D930" s="72" t="str">
        <f>IF(A930&lt;&gt;"",VLOOKUP(A930,'EDC - PRODUCTION'!$A$7:$I$49,4,FALSE),"")</f>
        <v/>
      </c>
      <c r="E930" s="44"/>
      <c r="F930" s="45" t="str">
        <f t="shared" si="44"/>
        <v/>
      </c>
      <c r="G930" s="56" t="str">
        <f t="shared" si="45"/>
        <v/>
      </c>
      <c r="H930" s="73"/>
      <c r="I930" s="73"/>
      <c r="J930" s="112" t="str">
        <f t="shared" si="46"/>
        <v/>
      </c>
      <c r="K930" s="68"/>
    </row>
    <row r="931" spans="1:11" x14ac:dyDescent="0.2">
      <c r="A931" s="108"/>
      <c r="B931" s="72" t="str">
        <f>IF(A931&lt;&gt;"",'EDC - PARAMETRAGE'!$A$3,"")</f>
        <v/>
      </c>
      <c r="C931" s="72" t="str">
        <f>IF(A931&lt;&gt;"",VLOOKUP(A931,'EDC - PRODUCTION'!$A$7:$E$49,5,FALSE),"")</f>
        <v/>
      </c>
      <c r="D931" s="72" t="str">
        <f>IF(A931&lt;&gt;"",VLOOKUP(A931,'EDC - PRODUCTION'!$A$7:$I$49,4,FALSE),"")</f>
        <v/>
      </c>
      <c r="E931" s="44"/>
      <c r="F931" s="45" t="str">
        <f t="shared" si="44"/>
        <v/>
      </c>
      <c r="G931" s="56" t="str">
        <f t="shared" si="45"/>
        <v/>
      </c>
      <c r="H931" s="73"/>
      <c r="I931" s="73"/>
      <c r="J931" s="112" t="str">
        <f t="shared" si="46"/>
        <v/>
      </c>
      <c r="K931" s="68"/>
    </row>
    <row r="932" spans="1:11" x14ac:dyDescent="0.2">
      <c r="A932" s="108"/>
      <c r="B932" s="72" t="str">
        <f>IF(A932&lt;&gt;"",'EDC - PARAMETRAGE'!$A$3,"")</f>
        <v/>
      </c>
      <c r="C932" s="72" t="str">
        <f>IF(A932&lt;&gt;"",VLOOKUP(A932,'EDC - PRODUCTION'!$A$7:$E$49,5,FALSE),"")</f>
        <v/>
      </c>
      <c r="D932" s="72" t="str">
        <f>IF(A932&lt;&gt;"",VLOOKUP(A932,'EDC - PRODUCTION'!$A$7:$I$49,4,FALSE),"")</f>
        <v/>
      </c>
      <c r="E932" s="44"/>
      <c r="F932" s="45" t="str">
        <f t="shared" si="44"/>
        <v/>
      </c>
      <c r="G932" s="56" t="str">
        <f t="shared" si="45"/>
        <v/>
      </c>
      <c r="H932" s="73"/>
      <c r="I932" s="73"/>
      <c r="J932" s="112" t="str">
        <f t="shared" si="46"/>
        <v/>
      </c>
      <c r="K932" s="68"/>
    </row>
    <row r="933" spans="1:11" x14ac:dyDescent="0.2">
      <c r="A933" s="108"/>
      <c r="B933" s="72" t="str">
        <f>IF(A933&lt;&gt;"",'EDC - PARAMETRAGE'!$A$3,"")</f>
        <v/>
      </c>
      <c r="C933" s="72" t="str">
        <f>IF(A933&lt;&gt;"",VLOOKUP(A933,'EDC - PRODUCTION'!$A$7:$E$49,5,FALSE),"")</f>
        <v/>
      </c>
      <c r="D933" s="72" t="str">
        <f>IF(A933&lt;&gt;"",VLOOKUP(A933,'EDC - PRODUCTION'!$A$7:$I$49,4,FALSE),"")</f>
        <v/>
      </c>
      <c r="E933" s="44"/>
      <c r="F933" s="45" t="str">
        <f t="shared" si="44"/>
        <v/>
      </c>
      <c r="G933" s="56" t="str">
        <f t="shared" si="45"/>
        <v/>
      </c>
      <c r="H933" s="73"/>
      <c r="I933" s="73"/>
      <c r="J933" s="112" t="str">
        <f t="shared" si="46"/>
        <v/>
      </c>
      <c r="K933" s="68"/>
    </row>
    <row r="934" spans="1:11" x14ac:dyDescent="0.2">
      <c r="A934" s="108"/>
      <c r="B934" s="72" t="str">
        <f>IF(A934&lt;&gt;"",'EDC - PARAMETRAGE'!$A$3,"")</f>
        <v/>
      </c>
      <c r="C934" s="72" t="str">
        <f>IF(A934&lt;&gt;"",VLOOKUP(A934,'EDC - PRODUCTION'!$A$7:$E$49,5,FALSE),"")</f>
        <v/>
      </c>
      <c r="D934" s="72" t="str">
        <f>IF(A934&lt;&gt;"",VLOOKUP(A934,'EDC - PRODUCTION'!$A$7:$I$49,4,FALSE),"")</f>
        <v/>
      </c>
      <c r="E934" s="44"/>
      <c r="F934" s="45" t="str">
        <f t="shared" si="44"/>
        <v/>
      </c>
      <c r="G934" s="56" t="str">
        <f t="shared" si="45"/>
        <v/>
      </c>
      <c r="H934" s="73"/>
      <c r="I934" s="73"/>
      <c r="J934" s="112" t="str">
        <f t="shared" si="46"/>
        <v/>
      </c>
      <c r="K934" s="68"/>
    </row>
    <row r="935" spans="1:11" x14ac:dyDescent="0.2">
      <c r="A935" s="108"/>
      <c r="B935" s="72" t="str">
        <f>IF(A935&lt;&gt;"",'EDC - PARAMETRAGE'!$A$3,"")</f>
        <v/>
      </c>
      <c r="C935" s="72" t="str">
        <f>IF(A935&lt;&gt;"",VLOOKUP(A935,'EDC - PRODUCTION'!$A$7:$E$49,5,FALSE),"")</f>
        <v/>
      </c>
      <c r="D935" s="72" t="str">
        <f>IF(A935&lt;&gt;"",VLOOKUP(A935,'EDC - PRODUCTION'!$A$7:$I$49,4,FALSE),"")</f>
        <v/>
      </c>
      <c r="E935" s="44"/>
      <c r="F935" s="45" t="str">
        <f t="shared" si="44"/>
        <v/>
      </c>
      <c r="G935" s="56" t="str">
        <f t="shared" si="45"/>
        <v/>
      </c>
      <c r="H935" s="73"/>
      <c r="I935" s="73"/>
      <c r="J935" s="112" t="str">
        <f t="shared" si="46"/>
        <v/>
      </c>
      <c r="K935" s="68"/>
    </row>
    <row r="936" spans="1:11" x14ac:dyDescent="0.2">
      <c r="A936" s="108"/>
      <c r="B936" s="72" t="str">
        <f>IF(A936&lt;&gt;"",'EDC - PARAMETRAGE'!$A$3,"")</f>
        <v/>
      </c>
      <c r="C936" s="72" t="str">
        <f>IF(A936&lt;&gt;"",VLOOKUP(A936,'EDC - PRODUCTION'!$A$7:$E$49,5,FALSE),"")</f>
        <v/>
      </c>
      <c r="D936" s="72" t="str">
        <f>IF(A936&lt;&gt;"",VLOOKUP(A936,'EDC - PRODUCTION'!$A$7:$I$49,4,FALSE),"")</f>
        <v/>
      </c>
      <c r="E936" s="44"/>
      <c r="F936" s="45" t="str">
        <f t="shared" si="44"/>
        <v/>
      </c>
      <c r="G936" s="56" t="str">
        <f t="shared" si="45"/>
        <v/>
      </c>
      <c r="H936" s="73"/>
      <c r="I936" s="73"/>
      <c r="J936" s="112" t="str">
        <f t="shared" si="46"/>
        <v/>
      </c>
      <c r="K936" s="68"/>
    </row>
    <row r="937" spans="1:11" x14ac:dyDescent="0.2">
      <c r="A937" s="108"/>
      <c r="B937" s="72" t="str">
        <f>IF(A937&lt;&gt;"",'EDC - PARAMETRAGE'!$A$3,"")</f>
        <v/>
      </c>
      <c r="C937" s="72" t="str">
        <f>IF(A937&lt;&gt;"",VLOOKUP(A937,'EDC - PRODUCTION'!$A$7:$E$49,5,FALSE),"")</f>
        <v/>
      </c>
      <c r="D937" s="72" t="str">
        <f>IF(A937&lt;&gt;"",VLOOKUP(A937,'EDC - PRODUCTION'!$A$7:$I$49,4,FALSE),"")</f>
        <v/>
      </c>
      <c r="E937" s="44"/>
      <c r="F937" s="45" t="str">
        <f t="shared" si="44"/>
        <v/>
      </c>
      <c r="G937" s="56" t="str">
        <f t="shared" si="45"/>
        <v/>
      </c>
      <c r="H937" s="73"/>
      <c r="I937" s="73"/>
      <c r="J937" s="112" t="str">
        <f t="shared" si="46"/>
        <v/>
      </c>
      <c r="K937" s="68"/>
    </row>
    <row r="938" spans="1:11" x14ac:dyDescent="0.2">
      <c r="A938" s="108"/>
      <c r="B938" s="72" t="str">
        <f>IF(A938&lt;&gt;"",'EDC - PARAMETRAGE'!$A$3,"")</f>
        <v/>
      </c>
      <c r="C938" s="72" t="str">
        <f>IF(A938&lt;&gt;"",VLOOKUP(A938,'EDC - PRODUCTION'!$A$7:$E$49,5,FALSE),"")</f>
        <v/>
      </c>
      <c r="D938" s="72" t="str">
        <f>IF(A938&lt;&gt;"",VLOOKUP(A938,'EDC - PRODUCTION'!$A$7:$I$49,4,FALSE),"")</f>
        <v/>
      </c>
      <c r="E938" s="44"/>
      <c r="F938" s="45" t="str">
        <f t="shared" si="44"/>
        <v/>
      </c>
      <c r="G938" s="56" t="str">
        <f t="shared" si="45"/>
        <v/>
      </c>
      <c r="H938" s="73"/>
      <c r="I938" s="73"/>
      <c r="J938" s="112" t="str">
        <f t="shared" si="46"/>
        <v/>
      </c>
      <c r="K938" s="68"/>
    </row>
    <row r="939" spans="1:11" x14ac:dyDescent="0.2">
      <c r="A939" s="108"/>
      <c r="B939" s="72" t="str">
        <f>IF(A939&lt;&gt;"",'EDC - PARAMETRAGE'!$A$3,"")</f>
        <v/>
      </c>
      <c r="C939" s="72" t="str">
        <f>IF(A939&lt;&gt;"",VLOOKUP(A939,'EDC - PRODUCTION'!$A$7:$E$49,5,FALSE),"")</f>
        <v/>
      </c>
      <c r="D939" s="72" t="str">
        <f>IF(A939&lt;&gt;"",VLOOKUP(A939,'EDC - PRODUCTION'!$A$7:$I$49,4,FALSE),"")</f>
        <v/>
      </c>
      <c r="E939" s="44"/>
      <c r="F939" s="45" t="str">
        <f t="shared" si="44"/>
        <v/>
      </c>
      <c r="G939" s="56" t="str">
        <f t="shared" si="45"/>
        <v/>
      </c>
      <c r="H939" s="73"/>
      <c r="I939" s="73"/>
      <c r="J939" s="112" t="str">
        <f t="shared" si="46"/>
        <v/>
      </c>
      <c r="K939" s="68"/>
    </row>
    <row r="940" spans="1:11" x14ac:dyDescent="0.2">
      <c r="A940" s="108"/>
      <c r="B940" s="72" t="str">
        <f>IF(A940&lt;&gt;"",'EDC - PARAMETRAGE'!$A$3,"")</f>
        <v/>
      </c>
      <c r="C940" s="72" t="str">
        <f>IF(A940&lt;&gt;"",VLOOKUP(A940,'EDC - PRODUCTION'!$A$7:$E$49,5,FALSE),"")</f>
        <v/>
      </c>
      <c r="D940" s="72" t="str">
        <f>IF(A940&lt;&gt;"",VLOOKUP(A940,'EDC - PRODUCTION'!$A$7:$I$49,4,FALSE),"")</f>
        <v/>
      </c>
      <c r="E940" s="44"/>
      <c r="F940" s="45" t="str">
        <f t="shared" si="44"/>
        <v/>
      </c>
      <c r="G940" s="56" t="str">
        <f t="shared" si="45"/>
        <v/>
      </c>
      <c r="H940" s="73"/>
      <c r="I940" s="73"/>
      <c r="J940" s="112" t="str">
        <f t="shared" si="46"/>
        <v/>
      </c>
      <c r="K940" s="68"/>
    </row>
    <row r="941" spans="1:11" x14ac:dyDescent="0.2">
      <c r="A941" s="108"/>
      <c r="B941" s="72" t="str">
        <f>IF(A941&lt;&gt;"",'EDC - PARAMETRAGE'!$A$3,"")</f>
        <v/>
      </c>
      <c r="C941" s="72" t="str">
        <f>IF(A941&lt;&gt;"",VLOOKUP(A941,'EDC - PRODUCTION'!$A$7:$E$49,5,FALSE),"")</f>
        <v/>
      </c>
      <c r="D941" s="72" t="str">
        <f>IF(A941&lt;&gt;"",VLOOKUP(A941,'EDC - PRODUCTION'!$A$7:$I$49,4,FALSE),"")</f>
        <v/>
      </c>
      <c r="E941" s="44"/>
      <c r="F941" s="45" t="str">
        <f t="shared" si="44"/>
        <v/>
      </c>
      <c r="G941" s="56" t="str">
        <f t="shared" si="45"/>
        <v/>
      </c>
      <c r="H941" s="73"/>
      <c r="I941" s="73"/>
      <c r="J941" s="112" t="str">
        <f t="shared" si="46"/>
        <v/>
      </c>
      <c r="K941" s="68"/>
    </row>
    <row r="942" spans="1:11" x14ac:dyDescent="0.2">
      <c r="A942" s="108"/>
      <c r="B942" s="72" t="str">
        <f>IF(A942&lt;&gt;"",'EDC - PARAMETRAGE'!$A$3,"")</f>
        <v/>
      </c>
      <c r="C942" s="72" t="str">
        <f>IF(A942&lt;&gt;"",VLOOKUP(A942,'EDC - PRODUCTION'!$A$7:$E$49,5,FALSE),"")</f>
        <v/>
      </c>
      <c r="D942" s="72" t="str">
        <f>IF(A942&lt;&gt;"",VLOOKUP(A942,'EDC - PRODUCTION'!$A$7:$I$49,4,FALSE),"")</f>
        <v/>
      </c>
      <c r="E942" s="44"/>
      <c r="F942" s="45" t="str">
        <f t="shared" si="44"/>
        <v/>
      </c>
      <c r="G942" s="56" t="str">
        <f t="shared" si="45"/>
        <v/>
      </c>
      <c r="H942" s="73"/>
      <c r="I942" s="73"/>
      <c r="J942" s="112" t="str">
        <f t="shared" si="46"/>
        <v/>
      </c>
      <c r="K942" s="68"/>
    </row>
    <row r="943" spans="1:11" x14ac:dyDescent="0.2">
      <c r="A943" s="108"/>
      <c r="B943" s="72" t="str">
        <f>IF(A943&lt;&gt;"",'EDC - PARAMETRAGE'!$A$3,"")</f>
        <v/>
      </c>
      <c r="C943" s="72" t="str">
        <f>IF(A943&lt;&gt;"",VLOOKUP(A943,'EDC - PRODUCTION'!$A$7:$E$49,5,FALSE),"")</f>
        <v/>
      </c>
      <c r="D943" s="72" t="str">
        <f>IF(A943&lt;&gt;"",VLOOKUP(A943,'EDC - PRODUCTION'!$A$7:$I$49,4,FALSE),"")</f>
        <v/>
      </c>
      <c r="E943" s="44"/>
      <c r="F943" s="45" t="str">
        <f t="shared" si="44"/>
        <v/>
      </c>
      <c r="G943" s="56" t="str">
        <f t="shared" si="45"/>
        <v/>
      </c>
      <c r="H943" s="73"/>
      <c r="I943" s="73"/>
      <c r="J943" s="112" t="str">
        <f t="shared" si="46"/>
        <v/>
      </c>
      <c r="K943" s="68"/>
    </row>
    <row r="944" spans="1:11" x14ac:dyDescent="0.2">
      <c r="A944" s="108"/>
      <c r="B944" s="72" t="str">
        <f>IF(A944&lt;&gt;"",'EDC - PARAMETRAGE'!$A$3,"")</f>
        <v/>
      </c>
      <c r="C944" s="72" t="str">
        <f>IF(A944&lt;&gt;"",VLOOKUP(A944,'EDC - PRODUCTION'!$A$7:$E$49,5,FALSE),"")</f>
        <v/>
      </c>
      <c r="D944" s="72" t="str">
        <f>IF(A944&lt;&gt;"",VLOOKUP(A944,'EDC - PRODUCTION'!$A$7:$I$49,4,FALSE),"")</f>
        <v/>
      </c>
      <c r="E944" s="44"/>
      <c r="F944" s="45" t="str">
        <f t="shared" si="44"/>
        <v/>
      </c>
      <c r="G944" s="56" t="str">
        <f t="shared" si="45"/>
        <v/>
      </c>
      <c r="H944" s="73"/>
      <c r="I944" s="73"/>
      <c r="J944" s="112" t="str">
        <f t="shared" si="46"/>
        <v/>
      </c>
      <c r="K944" s="68"/>
    </row>
    <row r="945" spans="1:11" x14ac:dyDescent="0.2">
      <c r="A945" s="108"/>
      <c r="B945" s="72" t="str">
        <f>IF(A945&lt;&gt;"",'EDC - PARAMETRAGE'!$A$3,"")</f>
        <v/>
      </c>
      <c r="C945" s="72" t="str">
        <f>IF(A945&lt;&gt;"",VLOOKUP(A945,'EDC - PRODUCTION'!$A$7:$E$49,5,FALSE),"")</f>
        <v/>
      </c>
      <c r="D945" s="72" t="str">
        <f>IF(A945&lt;&gt;"",VLOOKUP(A945,'EDC - PRODUCTION'!$A$7:$I$49,4,FALSE),"")</f>
        <v/>
      </c>
      <c r="E945" s="44"/>
      <c r="F945" s="45" t="str">
        <f t="shared" si="44"/>
        <v/>
      </c>
      <c r="G945" s="56" t="str">
        <f t="shared" si="45"/>
        <v/>
      </c>
      <c r="H945" s="73"/>
      <c r="I945" s="73"/>
      <c r="J945" s="112" t="str">
        <f t="shared" si="46"/>
        <v/>
      </c>
      <c r="K945" s="68"/>
    </row>
    <row r="946" spans="1:11" x14ac:dyDescent="0.2">
      <c r="A946" s="108"/>
      <c r="B946" s="72" t="str">
        <f>IF(A946&lt;&gt;"",'EDC - PARAMETRAGE'!$A$3,"")</f>
        <v/>
      </c>
      <c r="C946" s="72" t="str">
        <f>IF(A946&lt;&gt;"",VLOOKUP(A946,'EDC - PRODUCTION'!$A$7:$E$49,5,FALSE),"")</f>
        <v/>
      </c>
      <c r="D946" s="72" t="str">
        <f>IF(A946&lt;&gt;"",VLOOKUP(A946,'EDC - PRODUCTION'!$A$7:$I$49,4,FALSE),"")</f>
        <v/>
      </c>
      <c r="E946" s="44"/>
      <c r="F946" s="45" t="str">
        <f t="shared" si="44"/>
        <v/>
      </c>
      <c r="G946" s="56" t="str">
        <f t="shared" si="45"/>
        <v/>
      </c>
      <c r="H946" s="73"/>
      <c r="I946" s="73"/>
      <c r="J946" s="112" t="str">
        <f t="shared" si="46"/>
        <v/>
      </c>
      <c r="K946" s="68"/>
    </row>
    <row r="947" spans="1:11" x14ac:dyDescent="0.2">
      <c r="A947" s="108"/>
      <c r="B947" s="72" t="str">
        <f>IF(A947&lt;&gt;"",'EDC - PARAMETRAGE'!$A$3,"")</f>
        <v/>
      </c>
      <c r="C947" s="72" t="str">
        <f>IF(A947&lt;&gt;"",VLOOKUP(A947,'EDC - PRODUCTION'!$A$7:$E$49,5,FALSE),"")</f>
        <v/>
      </c>
      <c r="D947" s="72" t="str">
        <f>IF(A947&lt;&gt;"",VLOOKUP(A947,'EDC - PRODUCTION'!$A$7:$I$49,4,FALSE),"")</f>
        <v/>
      </c>
      <c r="E947" s="44"/>
      <c r="F947" s="45" t="str">
        <f t="shared" si="44"/>
        <v/>
      </c>
      <c r="G947" s="56" t="str">
        <f t="shared" si="45"/>
        <v/>
      </c>
      <c r="H947" s="73"/>
      <c r="I947" s="73"/>
      <c r="J947" s="112" t="str">
        <f t="shared" si="46"/>
        <v/>
      </c>
      <c r="K947" s="68"/>
    </row>
    <row r="948" spans="1:11" x14ac:dyDescent="0.2">
      <c r="A948" s="108"/>
      <c r="B948" s="72" t="str">
        <f>IF(A948&lt;&gt;"",'EDC - PARAMETRAGE'!$A$3,"")</f>
        <v/>
      </c>
      <c r="C948" s="72" t="str">
        <f>IF(A948&lt;&gt;"",VLOOKUP(A948,'EDC - PRODUCTION'!$A$7:$E$49,5,FALSE),"")</f>
        <v/>
      </c>
      <c r="D948" s="72" t="str">
        <f>IF(A948&lt;&gt;"",VLOOKUP(A948,'EDC - PRODUCTION'!$A$7:$I$49,4,FALSE),"")</f>
        <v/>
      </c>
      <c r="E948" s="44"/>
      <c r="F948" s="45" t="str">
        <f t="shared" si="44"/>
        <v/>
      </c>
      <c r="G948" s="56" t="str">
        <f t="shared" si="45"/>
        <v/>
      </c>
      <c r="H948" s="73"/>
      <c r="I948" s="73"/>
      <c r="J948" s="112" t="str">
        <f t="shared" si="46"/>
        <v/>
      </c>
      <c r="K948" s="68"/>
    </row>
    <row r="949" spans="1:11" x14ac:dyDescent="0.2">
      <c r="A949" s="108"/>
      <c r="B949" s="72" t="str">
        <f>IF(A949&lt;&gt;"",'EDC - PARAMETRAGE'!$A$3,"")</f>
        <v/>
      </c>
      <c r="C949" s="72" t="str">
        <f>IF(A949&lt;&gt;"",VLOOKUP(A949,'EDC - PRODUCTION'!$A$7:$E$49,5,FALSE),"")</f>
        <v/>
      </c>
      <c r="D949" s="72" t="str">
        <f>IF(A949&lt;&gt;"",VLOOKUP(A949,'EDC - PRODUCTION'!$A$7:$I$49,4,FALSE),"")</f>
        <v/>
      </c>
      <c r="E949" s="44"/>
      <c r="F949" s="45" t="str">
        <f t="shared" si="44"/>
        <v/>
      </c>
      <c r="G949" s="56" t="str">
        <f t="shared" si="45"/>
        <v/>
      </c>
      <c r="H949" s="73"/>
      <c r="I949" s="73"/>
      <c r="J949" s="112" t="str">
        <f t="shared" si="46"/>
        <v/>
      </c>
      <c r="K949" s="68"/>
    </row>
    <row r="950" spans="1:11" x14ac:dyDescent="0.2">
      <c r="A950" s="108"/>
      <c r="B950" s="72" t="str">
        <f>IF(A950&lt;&gt;"",'EDC - PARAMETRAGE'!$A$3,"")</f>
        <v/>
      </c>
      <c r="C950" s="72" t="str">
        <f>IF(A950&lt;&gt;"",VLOOKUP(A950,'EDC - PRODUCTION'!$A$7:$E$49,5,FALSE),"")</f>
        <v/>
      </c>
      <c r="D950" s="72" t="str">
        <f>IF(A950&lt;&gt;"",VLOOKUP(A950,'EDC - PRODUCTION'!$A$7:$I$49,4,FALSE),"")</f>
        <v/>
      </c>
      <c r="E950" s="44"/>
      <c r="F950" s="45" t="str">
        <f t="shared" si="44"/>
        <v/>
      </c>
      <c r="G950" s="56" t="str">
        <f t="shared" si="45"/>
        <v/>
      </c>
      <c r="H950" s="73"/>
      <c r="I950" s="73"/>
      <c r="J950" s="112" t="str">
        <f t="shared" si="46"/>
        <v/>
      </c>
      <c r="K950" s="68"/>
    </row>
    <row r="951" spans="1:11" x14ac:dyDescent="0.2">
      <c r="A951" s="108"/>
      <c r="B951" s="72" t="str">
        <f>IF(A951&lt;&gt;"",'EDC - PARAMETRAGE'!$A$3,"")</f>
        <v/>
      </c>
      <c r="C951" s="72" t="str">
        <f>IF(A951&lt;&gt;"",VLOOKUP(A951,'EDC - PRODUCTION'!$A$7:$E$49,5,FALSE),"")</f>
        <v/>
      </c>
      <c r="D951" s="72" t="str">
        <f>IF(A951&lt;&gt;"",VLOOKUP(A951,'EDC - PRODUCTION'!$A$7:$I$49,4,FALSE),"")</f>
        <v/>
      </c>
      <c r="E951" s="44"/>
      <c r="F951" s="45" t="str">
        <f t="shared" si="44"/>
        <v/>
      </c>
      <c r="G951" s="56" t="str">
        <f t="shared" si="45"/>
        <v/>
      </c>
      <c r="H951" s="73"/>
      <c r="I951" s="73"/>
      <c r="J951" s="112" t="str">
        <f t="shared" si="46"/>
        <v/>
      </c>
      <c r="K951" s="68"/>
    </row>
    <row r="952" spans="1:11" x14ac:dyDescent="0.2">
      <c r="A952" s="108"/>
      <c r="B952" s="72" t="str">
        <f>IF(A952&lt;&gt;"",'EDC - PARAMETRAGE'!$A$3,"")</f>
        <v/>
      </c>
      <c r="C952" s="72" t="str">
        <f>IF(A952&lt;&gt;"",VLOOKUP(A952,'EDC - PRODUCTION'!$A$7:$E$49,5,FALSE),"")</f>
        <v/>
      </c>
      <c r="D952" s="72" t="str">
        <f>IF(A952&lt;&gt;"",VLOOKUP(A952,'EDC - PRODUCTION'!$A$7:$I$49,4,FALSE),"")</f>
        <v/>
      </c>
      <c r="E952" s="44"/>
      <c r="F952" s="45" t="str">
        <f t="shared" si="44"/>
        <v/>
      </c>
      <c r="G952" s="56" t="str">
        <f t="shared" si="45"/>
        <v/>
      </c>
      <c r="H952" s="73"/>
      <c r="I952" s="73"/>
      <c r="J952" s="112" t="str">
        <f t="shared" si="46"/>
        <v/>
      </c>
      <c r="K952" s="68"/>
    </row>
    <row r="953" spans="1:11" x14ac:dyDescent="0.2">
      <c r="A953" s="108"/>
      <c r="B953" s="72" t="str">
        <f>IF(A953&lt;&gt;"",'EDC - PARAMETRAGE'!$A$3,"")</f>
        <v/>
      </c>
      <c r="C953" s="72" t="str">
        <f>IF(A953&lt;&gt;"",VLOOKUP(A953,'EDC - PRODUCTION'!$A$7:$E$49,5,FALSE),"")</f>
        <v/>
      </c>
      <c r="D953" s="72" t="str">
        <f>IF(A953&lt;&gt;"",VLOOKUP(A953,'EDC - PRODUCTION'!$A$7:$I$49,4,FALSE),"")</f>
        <v/>
      </c>
      <c r="E953" s="44"/>
      <c r="F953" s="45" t="str">
        <f t="shared" si="44"/>
        <v/>
      </c>
      <c r="G953" s="56" t="str">
        <f t="shared" si="45"/>
        <v/>
      </c>
      <c r="H953" s="73"/>
      <c r="I953" s="73"/>
      <c r="J953" s="112" t="str">
        <f t="shared" si="46"/>
        <v/>
      </c>
      <c r="K953" s="68"/>
    </row>
    <row r="954" spans="1:11" x14ac:dyDescent="0.2">
      <c r="A954" s="108"/>
      <c r="B954" s="72" t="str">
        <f>IF(A954&lt;&gt;"",'EDC - PARAMETRAGE'!$A$3,"")</f>
        <v/>
      </c>
      <c r="C954" s="72" t="str">
        <f>IF(A954&lt;&gt;"",VLOOKUP(A954,'EDC - PRODUCTION'!$A$7:$E$49,5,FALSE),"")</f>
        <v/>
      </c>
      <c r="D954" s="72" t="str">
        <f>IF(A954&lt;&gt;"",VLOOKUP(A954,'EDC - PRODUCTION'!$A$7:$I$49,4,FALSE),"")</f>
        <v/>
      </c>
      <c r="E954" s="44"/>
      <c r="F954" s="45" t="str">
        <f t="shared" si="44"/>
        <v/>
      </c>
      <c r="G954" s="56" t="str">
        <f t="shared" si="45"/>
        <v/>
      </c>
      <c r="H954" s="73"/>
      <c r="I954" s="73"/>
      <c r="J954" s="112" t="str">
        <f t="shared" si="46"/>
        <v/>
      </c>
      <c r="K954" s="68"/>
    </row>
    <row r="955" spans="1:11" x14ac:dyDescent="0.2">
      <c r="A955" s="108"/>
      <c r="B955" s="72" t="str">
        <f>IF(A955&lt;&gt;"",'EDC - PARAMETRAGE'!$A$3,"")</f>
        <v/>
      </c>
      <c r="C955" s="72" t="str">
        <f>IF(A955&lt;&gt;"",VLOOKUP(A955,'EDC - PRODUCTION'!$A$7:$E$49,5,FALSE),"")</f>
        <v/>
      </c>
      <c r="D955" s="72" t="str">
        <f>IF(A955&lt;&gt;"",VLOOKUP(A955,'EDC - PRODUCTION'!$A$7:$I$49,4,FALSE),"")</f>
        <v/>
      </c>
      <c r="E955" s="44"/>
      <c r="F955" s="45" t="str">
        <f t="shared" si="44"/>
        <v/>
      </c>
      <c r="G955" s="56" t="str">
        <f t="shared" si="45"/>
        <v/>
      </c>
      <c r="H955" s="73"/>
      <c r="I955" s="73"/>
      <c r="J955" s="112" t="str">
        <f t="shared" si="46"/>
        <v/>
      </c>
      <c r="K955" s="68"/>
    </row>
    <row r="956" spans="1:11" x14ac:dyDescent="0.2">
      <c r="A956" s="108"/>
      <c r="B956" s="72" t="str">
        <f>IF(A956&lt;&gt;"",'EDC - PARAMETRAGE'!$A$3,"")</f>
        <v/>
      </c>
      <c r="C956" s="72" t="str">
        <f>IF(A956&lt;&gt;"",VLOOKUP(A956,'EDC - PRODUCTION'!$A$7:$E$49,5,FALSE),"")</f>
        <v/>
      </c>
      <c r="D956" s="72" t="str">
        <f>IF(A956&lt;&gt;"",VLOOKUP(A956,'EDC - PRODUCTION'!$A$7:$I$49,4,FALSE),"")</f>
        <v/>
      </c>
      <c r="E956" s="44"/>
      <c r="F956" s="45" t="str">
        <f t="shared" si="44"/>
        <v/>
      </c>
      <c r="G956" s="56" t="str">
        <f t="shared" si="45"/>
        <v/>
      </c>
      <c r="H956" s="73"/>
      <c r="I956" s="73"/>
      <c r="J956" s="112" t="str">
        <f t="shared" si="46"/>
        <v/>
      </c>
      <c r="K956" s="68"/>
    </row>
    <row r="957" spans="1:11" x14ac:dyDescent="0.2">
      <c r="A957" s="108"/>
      <c r="B957" s="72" t="str">
        <f>IF(A957&lt;&gt;"",'EDC - PARAMETRAGE'!$A$3,"")</f>
        <v/>
      </c>
      <c r="C957" s="72" t="str">
        <f>IF(A957&lt;&gt;"",VLOOKUP(A957,'EDC - PRODUCTION'!$A$7:$E$49,5,FALSE),"")</f>
        <v/>
      </c>
      <c r="D957" s="72" t="str">
        <f>IF(A957&lt;&gt;"",VLOOKUP(A957,'EDC - PRODUCTION'!$A$7:$I$49,4,FALSE),"")</f>
        <v/>
      </c>
      <c r="E957" s="44"/>
      <c r="F957" s="45" t="str">
        <f t="shared" si="44"/>
        <v/>
      </c>
      <c r="G957" s="56" t="str">
        <f t="shared" si="45"/>
        <v/>
      </c>
      <c r="H957" s="73"/>
      <c r="I957" s="73"/>
      <c r="J957" s="112" t="str">
        <f t="shared" si="46"/>
        <v/>
      </c>
      <c r="K957" s="68"/>
    </row>
    <row r="958" spans="1:11" x14ac:dyDescent="0.2">
      <c r="A958" s="108"/>
      <c r="B958" s="72" t="str">
        <f>IF(A958&lt;&gt;"",'EDC - PARAMETRAGE'!$A$3,"")</f>
        <v/>
      </c>
      <c r="C958" s="72" t="str">
        <f>IF(A958&lt;&gt;"",VLOOKUP(A958,'EDC - PRODUCTION'!$A$7:$E$49,5,FALSE),"")</f>
        <v/>
      </c>
      <c r="D958" s="72" t="str">
        <f>IF(A958&lt;&gt;"",VLOOKUP(A958,'EDC - PRODUCTION'!$A$7:$I$49,4,FALSE),"")</f>
        <v/>
      </c>
      <c r="E958" s="44"/>
      <c r="F958" s="45" t="str">
        <f t="shared" si="44"/>
        <v/>
      </c>
      <c r="G958" s="56" t="str">
        <f t="shared" si="45"/>
        <v/>
      </c>
      <c r="H958" s="73"/>
      <c r="I958" s="73"/>
      <c r="J958" s="112" t="str">
        <f t="shared" si="46"/>
        <v/>
      </c>
      <c r="K958" s="68"/>
    </row>
    <row r="959" spans="1:11" x14ac:dyDescent="0.2">
      <c r="A959" s="108"/>
      <c r="B959" s="72" t="str">
        <f>IF(A959&lt;&gt;"",'EDC - PARAMETRAGE'!$A$3,"")</f>
        <v/>
      </c>
      <c r="C959" s="72" t="str">
        <f>IF(A959&lt;&gt;"",VLOOKUP(A959,'EDC - PRODUCTION'!$A$7:$E$49,5,FALSE),"")</f>
        <v/>
      </c>
      <c r="D959" s="72" t="str">
        <f>IF(A959&lt;&gt;"",VLOOKUP(A959,'EDC - PRODUCTION'!$A$7:$I$49,4,FALSE),"")</f>
        <v/>
      </c>
      <c r="E959" s="44"/>
      <c r="F959" s="45" t="str">
        <f t="shared" si="44"/>
        <v/>
      </c>
      <c r="G959" s="56" t="str">
        <f t="shared" si="45"/>
        <v/>
      </c>
      <c r="H959" s="73"/>
      <c r="I959" s="73"/>
      <c r="J959" s="112" t="str">
        <f t="shared" si="46"/>
        <v/>
      </c>
      <c r="K959" s="68"/>
    </row>
    <row r="960" spans="1:11" x14ac:dyDescent="0.2">
      <c r="A960" s="108"/>
      <c r="B960" s="72" t="str">
        <f>IF(A960&lt;&gt;"",'EDC - PARAMETRAGE'!$A$3,"")</f>
        <v/>
      </c>
      <c r="C960" s="72" t="str">
        <f>IF(A960&lt;&gt;"",VLOOKUP(A960,'EDC - PRODUCTION'!$A$7:$E$49,5,FALSE),"")</f>
        <v/>
      </c>
      <c r="D960" s="72" t="str">
        <f>IF(A960&lt;&gt;"",VLOOKUP(A960,'EDC - PRODUCTION'!$A$7:$I$49,4,FALSE),"")</f>
        <v/>
      </c>
      <c r="E960" s="44"/>
      <c r="F960" s="45" t="str">
        <f t="shared" si="44"/>
        <v/>
      </c>
      <c r="G960" s="56" t="str">
        <f t="shared" si="45"/>
        <v/>
      </c>
      <c r="H960" s="73"/>
      <c r="I960" s="73"/>
      <c r="J960" s="112" t="str">
        <f t="shared" si="46"/>
        <v/>
      </c>
      <c r="K960" s="68"/>
    </row>
    <row r="961" spans="1:11" x14ac:dyDescent="0.2">
      <c r="A961" s="108"/>
      <c r="B961" s="72" t="str">
        <f>IF(A961&lt;&gt;"",'EDC - PARAMETRAGE'!$A$3,"")</f>
        <v/>
      </c>
      <c r="C961" s="72" t="str">
        <f>IF(A961&lt;&gt;"",VLOOKUP(A961,'EDC - PRODUCTION'!$A$7:$E$49,5,FALSE),"")</f>
        <v/>
      </c>
      <c r="D961" s="72" t="str">
        <f>IF(A961&lt;&gt;"",VLOOKUP(A961,'EDC - PRODUCTION'!$A$7:$I$49,4,FALSE),"")</f>
        <v/>
      </c>
      <c r="E961" s="44"/>
      <c r="F961" s="45" t="str">
        <f t="shared" si="44"/>
        <v/>
      </c>
      <c r="G961" s="56" t="str">
        <f t="shared" si="45"/>
        <v/>
      </c>
      <c r="H961" s="73"/>
      <c r="I961" s="73"/>
      <c r="J961" s="112" t="str">
        <f t="shared" si="46"/>
        <v/>
      </c>
      <c r="K961" s="68"/>
    </row>
    <row r="962" spans="1:11" x14ac:dyDescent="0.2">
      <c r="A962" s="108"/>
      <c r="B962" s="72" t="str">
        <f>IF(A962&lt;&gt;"",'EDC - PARAMETRAGE'!$A$3,"")</f>
        <v/>
      </c>
      <c r="C962" s="72" t="str">
        <f>IF(A962&lt;&gt;"",VLOOKUP(A962,'EDC - PRODUCTION'!$A$7:$E$49,5,FALSE),"")</f>
        <v/>
      </c>
      <c r="D962" s="72" t="str">
        <f>IF(A962&lt;&gt;"",VLOOKUP(A962,'EDC - PRODUCTION'!$A$7:$I$49,4,FALSE),"")</f>
        <v/>
      </c>
      <c r="E962" s="44"/>
      <c r="F962" s="45" t="str">
        <f t="shared" si="44"/>
        <v/>
      </c>
      <c r="G962" s="56" t="str">
        <f t="shared" si="45"/>
        <v/>
      </c>
      <c r="H962" s="73"/>
      <c r="I962" s="73"/>
      <c r="J962" s="112" t="str">
        <f t="shared" si="46"/>
        <v/>
      </c>
      <c r="K962" s="68"/>
    </row>
    <row r="963" spans="1:11" x14ac:dyDescent="0.2">
      <c r="A963" s="108"/>
      <c r="B963" s="72" t="str">
        <f>IF(A963&lt;&gt;"",'EDC - PARAMETRAGE'!$A$3,"")</f>
        <v/>
      </c>
      <c r="C963" s="72" t="str">
        <f>IF(A963&lt;&gt;"",VLOOKUP(A963,'EDC - PRODUCTION'!$A$7:$E$49,5,FALSE),"")</f>
        <v/>
      </c>
      <c r="D963" s="72" t="str">
        <f>IF(A963&lt;&gt;"",VLOOKUP(A963,'EDC - PRODUCTION'!$A$7:$I$49,4,FALSE),"")</f>
        <v/>
      </c>
      <c r="E963" s="44"/>
      <c r="F963" s="45" t="str">
        <f t="shared" si="44"/>
        <v/>
      </c>
      <c r="G963" s="56" t="str">
        <f t="shared" si="45"/>
        <v/>
      </c>
      <c r="H963" s="73"/>
      <c r="I963" s="73"/>
      <c r="J963" s="112" t="str">
        <f t="shared" si="46"/>
        <v/>
      </c>
      <c r="K963" s="68"/>
    </row>
    <row r="964" spans="1:11" x14ac:dyDescent="0.2">
      <c r="A964" s="108"/>
      <c r="B964" s="72" t="str">
        <f>IF(A964&lt;&gt;"",'EDC - PARAMETRAGE'!$A$3,"")</f>
        <v/>
      </c>
      <c r="C964" s="72" t="str">
        <f>IF(A964&lt;&gt;"",VLOOKUP(A964,'EDC - PRODUCTION'!$A$7:$E$49,5,FALSE),"")</f>
        <v/>
      </c>
      <c r="D964" s="72" t="str">
        <f>IF(A964&lt;&gt;"",VLOOKUP(A964,'EDC - PRODUCTION'!$A$7:$I$49,4,FALSE),"")</f>
        <v/>
      </c>
      <c r="E964" s="44"/>
      <c r="F964" s="45" t="str">
        <f t="shared" ref="F964:F1000" si="47">IF(A964&lt;&gt;"","DDE","")</f>
        <v/>
      </c>
      <c r="G964" s="56" t="str">
        <f t="shared" ref="G964:G1000" si="48">IF(A964&lt;&gt;"",1,"")</f>
        <v/>
      </c>
      <c r="H964" s="73"/>
      <c r="I964" s="73"/>
      <c r="J964" s="112" t="str">
        <f t="shared" ref="J964:J1000" si="49">IF(A964&lt;&gt;"",SUM(H964:I964),"")</f>
        <v/>
      </c>
      <c r="K964" s="68"/>
    </row>
    <row r="965" spans="1:11" x14ac:dyDescent="0.2">
      <c r="A965" s="108"/>
      <c r="B965" s="72" t="str">
        <f>IF(A965&lt;&gt;"",'EDC - PARAMETRAGE'!$A$3,"")</f>
        <v/>
      </c>
      <c r="C965" s="72" t="str">
        <f>IF(A965&lt;&gt;"",VLOOKUP(A965,'EDC - PRODUCTION'!$A$7:$E$49,5,FALSE),"")</f>
        <v/>
      </c>
      <c r="D965" s="72" t="str">
        <f>IF(A965&lt;&gt;"",VLOOKUP(A965,'EDC - PRODUCTION'!$A$7:$I$49,4,FALSE),"")</f>
        <v/>
      </c>
      <c r="E965" s="44"/>
      <c r="F965" s="45" t="str">
        <f t="shared" si="47"/>
        <v/>
      </c>
      <c r="G965" s="56" t="str">
        <f t="shared" si="48"/>
        <v/>
      </c>
      <c r="H965" s="73"/>
      <c r="I965" s="73"/>
      <c r="J965" s="112" t="str">
        <f t="shared" si="49"/>
        <v/>
      </c>
      <c r="K965" s="68"/>
    </row>
    <row r="966" spans="1:11" x14ac:dyDescent="0.2">
      <c r="A966" s="108"/>
      <c r="B966" s="72" t="str">
        <f>IF(A966&lt;&gt;"",'EDC - PARAMETRAGE'!$A$3,"")</f>
        <v/>
      </c>
      <c r="C966" s="72" t="str">
        <f>IF(A966&lt;&gt;"",VLOOKUP(A966,'EDC - PRODUCTION'!$A$7:$E$49,5,FALSE),"")</f>
        <v/>
      </c>
      <c r="D966" s="72" t="str">
        <f>IF(A966&lt;&gt;"",VLOOKUP(A966,'EDC - PRODUCTION'!$A$7:$I$49,4,FALSE),"")</f>
        <v/>
      </c>
      <c r="E966" s="44"/>
      <c r="F966" s="45" t="str">
        <f t="shared" si="47"/>
        <v/>
      </c>
      <c r="G966" s="56" t="str">
        <f t="shared" si="48"/>
        <v/>
      </c>
      <c r="H966" s="73"/>
      <c r="I966" s="73"/>
      <c r="J966" s="112" t="str">
        <f t="shared" si="49"/>
        <v/>
      </c>
      <c r="K966" s="68"/>
    </row>
    <row r="967" spans="1:11" x14ac:dyDescent="0.2">
      <c r="A967" s="108"/>
      <c r="B967" s="72" t="str">
        <f>IF(A967&lt;&gt;"",'EDC - PARAMETRAGE'!$A$3,"")</f>
        <v/>
      </c>
      <c r="C967" s="72" t="str">
        <f>IF(A967&lt;&gt;"",VLOOKUP(A967,'EDC - PRODUCTION'!$A$7:$E$49,5,FALSE),"")</f>
        <v/>
      </c>
      <c r="D967" s="72" t="str">
        <f>IF(A967&lt;&gt;"",VLOOKUP(A967,'EDC - PRODUCTION'!$A$7:$I$49,4,FALSE),"")</f>
        <v/>
      </c>
      <c r="E967" s="44"/>
      <c r="F967" s="45" t="str">
        <f t="shared" si="47"/>
        <v/>
      </c>
      <c r="G967" s="56" t="str">
        <f t="shared" si="48"/>
        <v/>
      </c>
      <c r="H967" s="73"/>
      <c r="I967" s="73"/>
      <c r="J967" s="112" t="str">
        <f t="shared" si="49"/>
        <v/>
      </c>
      <c r="K967" s="68"/>
    </row>
    <row r="968" spans="1:11" x14ac:dyDescent="0.2">
      <c r="A968" s="108"/>
      <c r="B968" s="72" t="str">
        <f>IF(A968&lt;&gt;"",'EDC - PARAMETRAGE'!$A$3,"")</f>
        <v/>
      </c>
      <c r="C968" s="72" t="str">
        <f>IF(A968&lt;&gt;"",VLOOKUP(A968,'EDC - PRODUCTION'!$A$7:$E$49,5,FALSE),"")</f>
        <v/>
      </c>
      <c r="D968" s="72" t="str">
        <f>IF(A968&lt;&gt;"",VLOOKUP(A968,'EDC - PRODUCTION'!$A$7:$I$49,4,FALSE),"")</f>
        <v/>
      </c>
      <c r="E968" s="44"/>
      <c r="F968" s="45" t="str">
        <f t="shared" si="47"/>
        <v/>
      </c>
      <c r="G968" s="56" t="str">
        <f t="shared" si="48"/>
        <v/>
      </c>
      <c r="H968" s="73"/>
      <c r="I968" s="73"/>
      <c r="J968" s="112" t="str">
        <f t="shared" si="49"/>
        <v/>
      </c>
      <c r="K968" s="68"/>
    </row>
    <row r="969" spans="1:11" x14ac:dyDescent="0.2">
      <c r="A969" s="108"/>
      <c r="B969" s="72" t="str">
        <f>IF(A969&lt;&gt;"",'EDC - PARAMETRAGE'!$A$3,"")</f>
        <v/>
      </c>
      <c r="C969" s="72" t="str">
        <f>IF(A969&lt;&gt;"",VLOOKUP(A969,'EDC - PRODUCTION'!$A$7:$E$49,5,FALSE),"")</f>
        <v/>
      </c>
      <c r="D969" s="72" t="str">
        <f>IF(A969&lt;&gt;"",VLOOKUP(A969,'EDC - PRODUCTION'!$A$7:$I$49,4,FALSE),"")</f>
        <v/>
      </c>
      <c r="E969" s="44"/>
      <c r="F969" s="45" t="str">
        <f t="shared" si="47"/>
        <v/>
      </c>
      <c r="G969" s="56" t="str">
        <f t="shared" si="48"/>
        <v/>
      </c>
      <c r="H969" s="73"/>
      <c r="I969" s="73"/>
      <c r="J969" s="112" t="str">
        <f t="shared" si="49"/>
        <v/>
      </c>
      <c r="K969" s="68"/>
    </row>
    <row r="970" spans="1:11" x14ac:dyDescent="0.2">
      <c r="A970" s="108"/>
      <c r="B970" s="72" t="str">
        <f>IF(A970&lt;&gt;"",'EDC - PARAMETRAGE'!$A$3,"")</f>
        <v/>
      </c>
      <c r="C970" s="72" t="str">
        <f>IF(A970&lt;&gt;"",VLOOKUP(A970,'EDC - PRODUCTION'!$A$7:$E$49,5,FALSE),"")</f>
        <v/>
      </c>
      <c r="D970" s="72" t="str">
        <f>IF(A970&lt;&gt;"",VLOOKUP(A970,'EDC - PRODUCTION'!$A$7:$I$49,4,FALSE),"")</f>
        <v/>
      </c>
      <c r="E970" s="44"/>
      <c r="F970" s="45" t="str">
        <f t="shared" si="47"/>
        <v/>
      </c>
      <c r="G970" s="56" t="str">
        <f t="shared" si="48"/>
        <v/>
      </c>
      <c r="H970" s="73"/>
      <c r="I970" s="73"/>
      <c r="J970" s="112" t="str">
        <f t="shared" si="49"/>
        <v/>
      </c>
      <c r="K970" s="68"/>
    </row>
    <row r="971" spans="1:11" x14ac:dyDescent="0.2">
      <c r="A971" s="108"/>
      <c r="B971" s="72" t="str">
        <f>IF(A971&lt;&gt;"",'EDC - PARAMETRAGE'!$A$3,"")</f>
        <v/>
      </c>
      <c r="C971" s="72" t="str">
        <f>IF(A971&lt;&gt;"",VLOOKUP(A971,'EDC - PRODUCTION'!$A$7:$E$49,5,FALSE),"")</f>
        <v/>
      </c>
      <c r="D971" s="72" t="str">
        <f>IF(A971&lt;&gt;"",VLOOKUP(A971,'EDC - PRODUCTION'!$A$7:$I$49,4,FALSE),"")</f>
        <v/>
      </c>
      <c r="E971" s="44"/>
      <c r="F971" s="45" t="str">
        <f t="shared" si="47"/>
        <v/>
      </c>
      <c r="G971" s="56" t="str">
        <f t="shared" si="48"/>
        <v/>
      </c>
      <c r="H971" s="73"/>
      <c r="I971" s="73"/>
      <c r="J971" s="112" t="str">
        <f t="shared" si="49"/>
        <v/>
      </c>
      <c r="K971" s="68"/>
    </row>
    <row r="972" spans="1:11" x14ac:dyDescent="0.2">
      <c r="A972" s="108"/>
      <c r="B972" s="72" t="str">
        <f>IF(A972&lt;&gt;"",'EDC - PARAMETRAGE'!$A$3,"")</f>
        <v/>
      </c>
      <c r="C972" s="72" t="str">
        <f>IF(A972&lt;&gt;"",VLOOKUP(A972,'EDC - PRODUCTION'!$A$7:$E$49,5,FALSE),"")</f>
        <v/>
      </c>
      <c r="D972" s="72" t="str">
        <f>IF(A972&lt;&gt;"",VLOOKUP(A972,'EDC - PRODUCTION'!$A$7:$I$49,4,FALSE),"")</f>
        <v/>
      </c>
      <c r="E972" s="44"/>
      <c r="F972" s="45" t="str">
        <f t="shared" si="47"/>
        <v/>
      </c>
      <c r="G972" s="56" t="str">
        <f t="shared" si="48"/>
        <v/>
      </c>
      <c r="H972" s="73"/>
      <c r="I972" s="73"/>
      <c r="J972" s="112" t="str">
        <f t="shared" si="49"/>
        <v/>
      </c>
      <c r="K972" s="68"/>
    </row>
    <row r="973" spans="1:11" x14ac:dyDescent="0.2">
      <c r="A973" s="108"/>
      <c r="B973" s="72" t="str">
        <f>IF(A973&lt;&gt;"",'EDC - PARAMETRAGE'!$A$3,"")</f>
        <v/>
      </c>
      <c r="C973" s="72" t="str">
        <f>IF(A973&lt;&gt;"",VLOOKUP(A973,'EDC - PRODUCTION'!$A$7:$E$49,5,FALSE),"")</f>
        <v/>
      </c>
      <c r="D973" s="72" t="str">
        <f>IF(A973&lt;&gt;"",VLOOKUP(A973,'EDC - PRODUCTION'!$A$7:$I$49,4,FALSE),"")</f>
        <v/>
      </c>
      <c r="E973" s="44"/>
      <c r="F973" s="45" t="str">
        <f t="shared" si="47"/>
        <v/>
      </c>
      <c r="G973" s="56" t="str">
        <f t="shared" si="48"/>
        <v/>
      </c>
      <c r="H973" s="73"/>
      <c r="I973" s="73"/>
      <c r="J973" s="112" t="str">
        <f t="shared" si="49"/>
        <v/>
      </c>
      <c r="K973" s="68"/>
    </row>
    <row r="974" spans="1:11" x14ac:dyDescent="0.2">
      <c r="A974" s="108"/>
      <c r="B974" s="72" t="str">
        <f>IF(A974&lt;&gt;"",'EDC - PARAMETRAGE'!$A$3,"")</f>
        <v/>
      </c>
      <c r="C974" s="72" t="str">
        <f>IF(A974&lt;&gt;"",VLOOKUP(A974,'EDC - PRODUCTION'!$A$7:$E$49,5,FALSE),"")</f>
        <v/>
      </c>
      <c r="D974" s="72" t="str">
        <f>IF(A974&lt;&gt;"",VLOOKUP(A974,'EDC - PRODUCTION'!$A$7:$I$49,4,FALSE),"")</f>
        <v/>
      </c>
      <c r="E974" s="44"/>
      <c r="F974" s="45" t="str">
        <f t="shared" si="47"/>
        <v/>
      </c>
      <c r="G974" s="56" t="str">
        <f t="shared" si="48"/>
        <v/>
      </c>
      <c r="H974" s="73"/>
      <c r="I974" s="73"/>
      <c r="J974" s="112" t="str">
        <f t="shared" si="49"/>
        <v/>
      </c>
      <c r="K974" s="68"/>
    </row>
    <row r="975" spans="1:11" x14ac:dyDescent="0.2">
      <c r="A975" s="108"/>
      <c r="B975" s="72" t="str">
        <f>IF(A975&lt;&gt;"",'EDC - PARAMETRAGE'!$A$3,"")</f>
        <v/>
      </c>
      <c r="C975" s="72" t="str">
        <f>IF(A975&lt;&gt;"",VLOOKUP(A975,'EDC - PRODUCTION'!$A$7:$E$49,5,FALSE),"")</f>
        <v/>
      </c>
      <c r="D975" s="72" t="str">
        <f>IF(A975&lt;&gt;"",VLOOKUP(A975,'EDC - PRODUCTION'!$A$7:$I$49,4,FALSE),"")</f>
        <v/>
      </c>
      <c r="E975" s="44"/>
      <c r="F975" s="45" t="str">
        <f t="shared" si="47"/>
        <v/>
      </c>
      <c r="G975" s="56" t="str">
        <f t="shared" si="48"/>
        <v/>
      </c>
      <c r="H975" s="73"/>
      <c r="I975" s="73"/>
      <c r="J975" s="112" t="str">
        <f t="shared" si="49"/>
        <v/>
      </c>
      <c r="K975" s="68"/>
    </row>
    <row r="976" spans="1:11" x14ac:dyDescent="0.2">
      <c r="A976" s="108"/>
      <c r="B976" s="72" t="str">
        <f>IF(A976&lt;&gt;"",'EDC - PARAMETRAGE'!$A$3,"")</f>
        <v/>
      </c>
      <c r="C976" s="72" t="str">
        <f>IF(A976&lt;&gt;"",VLOOKUP(A976,'EDC - PRODUCTION'!$A$7:$E$49,5,FALSE),"")</f>
        <v/>
      </c>
      <c r="D976" s="72" t="str">
        <f>IF(A976&lt;&gt;"",VLOOKUP(A976,'EDC - PRODUCTION'!$A$7:$I$49,4,FALSE),"")</f>
        <v/>
      </c>
      <c r="E976" s="44"/>
      <c r="F976" s="45" t="str">
        <f t="shared" si="47"/>
        <v/>
      </c>
      <c r="G976" s="56" t="str">
        <f t="shared" si="48"/>
        <v/>
      </c>
      <c r="H976" s="73"/>
      <c r="I976" s="73"/>
      <c r="J976" s="112" t="str">
        <f t="shared" si="49"/>
        <v/>
      </c>
      <c r="K976" s="68"/>
    </row>
    <row r="977" spans="1:11" x14ac:dyDescent="0.2">
      <c r="A977" s="108"/>
      <c r="B977" s="72" t="str">
        <f>IF(A977&lt;&gt;"",'EDC - PARAMETRAGE'!$A$3,"")</f>
        <v/>
      </c>
      <c r="C977" s="72" t="str">
        <f>IF(A977&lt;&gt;"",VLOOKUP(A977,'EDC - PRODUCTION'!$A$7:$E$49,5,FALSE),"")</f>
        <v/>
      </c>
      <c r="D977" s="72" t="str">
        <f>IF(A977&lt;&gt;"",VLOOKUP(A977,'EDC - PRODUCTION'!$A$7:$I$49,4,FALSE),"")</f>
        <v/>
      </c>
      <c r="E977" s="44"/>
      <c r="F977" s="45" t="str">
        <f t="shared" si="47"/>
        <v/>
      </c>
      <c r="G977" s="56" t="str">
        <f t="shared" si="48"/>
        <v/>
      </c>
      <c r="H977" s="73"/>
      <c r="I977" s="73"/>
      <c r="J977" s="112" t="str">
        <f t="shared" si="49"/>
        <v/>
      </c>
      <c r="K977" s="68"/>
    </row>
    <row r="978" spans="1:11" x14ac:dyDescent="0.2">
      <c r="A978" s="108"/>
      <c r="B978" s="72" t="str">
        <f>IF(A978&lt;&gt;"",'EDC - PARAMETRAGE'!$A$3,"")</f>
        <v/>
      </c>
      <c r="C978" s="72" t="str">
        <f>IF(A978&lt;&gt;"",VLOOKUP(A978,'EDC - PRODUCTION'!$A$7:$E$49,5,FALSE),"")</f>
        <v/>
      </c>
      <c r="D978" s="72" t="str">
        <f>IF(A978&lt;&gt;"",VLOOKUP(A978,'EDC - PRODUCTION'!$A$7:$I$49,4,FALSE),"")</f>
        <v/>
      </c>
      <c r="E978" s="44"/>
      <c r="F978" s="45" t="str">
        <f t="shared" si="47"/>
        <v/>
      </c>
      <c r="G978" s="56" t="str">
        <f t="shared" si="48"/>
        <v/>
      </c>
      <c r="H978" s="73"/>
      <c r="I978" s="73"/>
      <c r="J978" s="112" t="str">
        <f t="shared" si="49"/>
        <v/>
      </c>
      <c r="K978" s="68"/>
    </row>
    <row r="979" spans="1:11" x14ac:dyDescent="0.2">
      <c r="A979" s="108"/>
      <c r="B979" s="72" t="str">
        <f>IF(A979&lt;&gt;"",'EDC - PARAMETRAGE'!$A$3,"")</f>
        <v/>
      </c>
      <c r="C979" s="72" t="str">
        <f>IF(A979&lt;&gt;"",VLOOKUP(A979,'EDC - PRODUCTION'!$A$7:$E$49,5,FALSE),"")</f>
        <v/>
      </c>
      <c r="D979" s="72" t="str">
        <f>IF(A979&lt;&gt;"",VLOOKUP(A979,'EDC - PRODUCTION'!$A$7:$I$49,4,FALSE),"")</f>
        <v/>
      </c>
      <c r="E979" s="44"/>
      <c r="F979" s="45" t="str">
        <f t="shared" si="47"/>
        <v/>
      </c>
      <c r="G979" s="56" t="str">
        <f t="shared" si="48"/>
        <v/>
      </c>
      <c r="H979" s="73"/>
      <c r="I979" s="73"/>
      <c r="J979" s="112" t="str">
        <f t="shared" si="49"/>
        <v/>
      </c>
      <c r="K979" s="68"/>
    </row>
    <row r="980" spans="1:11" x14ac:dyDescent="0.2">
      <c r="A980" s="108"/>
      <c r="B980" s="72" t="str">
        <f>IF(A980&lt;&gt;"",'EDC - PARAMETRAGE'!$A$3,"")</f>
        <v/>
      </c>
      <c r="C980" s="72" t="str">
        <f>IF(A980&lt;&gt;"",VLOOKUP(A980,'EDC - PRODUCTION'!$A$7:$E$49,5,FALSE),"")</f>
        <v/>
      </c>
      <c r="D980" s="72" t="str">
        <f>IF(A980&lt;&gt;"",VLOOKUP(A980,'EDC - PRODUCTION'!$A$7:$I$49,4,FALSE),"")</f>
        <v/>
      </c>
      <c r="E980" s="44"/>
      <c r="F980" s="45" t="str">
        <f t="shared" si="47"/>
        <v/>
      </c>
      <c r="G980" s="56" t="str">
        <f t="shared" si="48"/>
        <v/>
      </c>
      <c r="H980" s="73"/>
      <c r="I980" s="73"/>
      <c r="J980" s="112" t="str">
        <f t="shared" si="49"/>
        <v/>
      </c>
      <c r="K980" s="68"/>
    </row>
    <row r="981" spans="1:11" x14ac:dyDescent="0.2">
      <c r="A981" s="108"/>
      <c r="B981" s="72" t="str">
        <f>IF(A981&lt;&gt;"",'EDC - PARAMETRAGE'!$A$3,"")</f>
        <v/>
      </c>
      <c r="C981" s="72" t="str">
        <f>IF(A981&lt;&gt;"",VLOOKUP(A981,'EDC - PRODUCTION'!$A$7:$E$49,5,FALSE),"")</f>
        <v/>
      </c>
      <c r="D981" s="72" t="str">
        <f>IF(A981&lt;&gt;"",VLOOKUP(A981,'EDC - PRODUCTION'!$A$7:$I$49,4,FALSE),"")</f>
        <v/>
      </c>
      <c r="E981" s="44"/>
      <c r="F981" s="45" t="str">
        <f t="shared" si="47"/>
        <v/>
      </c>
      <c r="G981" s="56" t="str">
        <f t="shared" si="48"/>
        <v/>
      </c>
      <c r="H981" s="73"/>
      <c r="I981" s="73"/>
      <c r="J981" s="112" t="str">
        <f t="shared" si="49"/>
        <v/>
      </c>
      <c r="K981" s="68"/>
    </row>
    <row r="982" spans="1:11" x14ac:dyDescent="0.2">
      <c r="A982" s="108"/>
      <c r="B982" s="72" t="str">
        <f>IF(A982&lt;&gt;"",'EDC - PARAMETRAGE'!$A$3,"")</f>
        <v/>
      </c>
      <c r="C982" s="72" t="str">
        <f>IF(A982&lt;&gt;"",VLOOKUP(A982,'EDC - PRODUCTION'!$A$7:$E$49,5,FALSE),"")</f>
        <v/>
      </c>
      <c r="D982" s="72" t="str">
        <f>IF(A982&lt;&gt;"",VLOOKUP(A982,'EDC - PRODUCTION'!$A$7:$I$49,4,FALSE),"")</f>
        <v/>
      </c>
      <c r="E982" s="44"/>
      <c r="F982" s="45" t="str">
        <f t="shared" si="47"/>
        <v/>
      </c>
      <c r="G982" s="56" t="str">
        <f t="shared" si="48"/>
        <v/>
      </c>
      <c r="H982" s="73"/>
      <c r="I982" s="73"/>
      <c r="J982" s="112" t="str">
        <f t="shared" si="49"/>
        <v/>
      </c>
      <c r="K982" s="68"/>
    </row>
    <row r="983" spans="1:11" x14ac:dyDescent="0.2">
      <c r="A983" s="108"/>
      <c r="B983" s="72" t="str">
        <f>IF(A983&lt;&gt;"",'EDC - PARAMETRAGE'!$A$3,"")</f>
        <v/>
      </c>
      <c r="C983" s="72" t="str">
        <f>IF(A983&lt;&gt;"",VLOOKUP(A983,'EDC - PRODUCTION'!$A$7:$E$49,5,FALSE),"")</f>
        <v/>
      </c>
      <c r="D983" s="72" t="str">
        <f>IF(A983&lt;&gt;"",VLOOKUP(A983,'EDC - PRODUCTION'!$A$7:$I$49,4,FALSE),"")</f>
        <v/>
      </c>
      <c r="E983" s="44"/>
      <c r="F983" s="45" t="str">
        <f t="shared" si="47"/>
        <v/>
      </c>
      <c r="G983" s="56" t="str">
        <f t="shared" si="48"/>
        <v/>
      </c>
      <c r="H983" s="73"/>
      <c r="I983" s="73"/>
      <c r="J983" s="112" t="str">
        <f t="shared" si="49"/>
        <v/>
      </c>
      <c r="K983" s="68"/>
    </row>
    <row r="984" spans="1:11" x14ac:dyDescent="0.2">
      <c r="A984" s="108"/>
      <c r="B984" s="72" t="str">
        <f>IF(A984&lt;&gt;"",'EDC - PARAMETRAGE'!$A$3,"")</f>
        <v/>
      </c>
      <c r="C984" s="72" t="str">
        <f>IF(A984&lt;&gt;"",VLOOKUP(A984,'EDC - PRODUCTION'!$A$7:$E$49,5,FALSE),"")</f>
        <v/>
      </c>
      <c r="D984" s="72" t="str">
        <f>IF(A984&lt;&gt;"",VLOOKUP(A984,'EDC - PRODUCTION'!$A$7:$I$49,4,FALSE),"")</f>
        <v/>
      </c>
      <c r="E984" s="44"/>
      <c r="F984" s="45" t="str">
        <f t="shared" si="47"/>
        <v/>
      </c>
      <c r="G984" s="56" t="str">
        <f t="shared" si="48"/>
        <v/>
      </c>
      <c r="H984" s="73"/>
      <c r="I984" s="73"/>
      <c r="J984" s="112" t="str">
        <f t="shared" si="49"/>
        <v/>
      </c>
      <c r="K984" s="68"/>
    </row>
    <row r="985" spans="1:11" x14ac:dyDescent="0.2">
      <c r="A985" s="108"/>
      <c r="B985" s="72" t="str">
        <f>IF(A985&lt;&gt;"",'EDC - PARAMETRAGE'!$A$3,"")</f>
        <v/>
      </c>
      <c r="C985" s="72" t="str">
        <f>IF(A985&lt;&gt;"",VLOOKUP(A985,'EDC - PRODUCTION'!$A$7:$E$49,5,FALSE),"")</f>
        <v/>
      </c>
      <c r="D985" s="72" t="str">
        <f>IF(A985&lt;&gt;"",VLOOKUP(A985,'EDC - PRODUCTION'!$A$7:$I$49,4,FALSE),"")</f>
        <v/>
      </c>
      <c r="E985" s="44"/>
      <c r="F985" s="45" t="str">
        <f t="shared" si="47"/>
        <v/>
      </c>
      <c r="G985" s="56" t="str">
        <f t="shared" si="48"/>
        <v/>
      </c>
      <c r="H985" s="73"/>
      <c r="I985" s="73"/>
      <c r="J985" s="112" t="str">
        <f t="shared" si="49"/>
        <v/>
      </c>
      <c r="K985" s="68"/>
    </row>
    <row r="986" spans="1:11" x14ac:dyDescent="0.2">
      <c r="A986" s="108"/>
      <c r="B986" s="72" t="str">
        <f>IF(A986&lt;&gt;"",'EDC - PARAMETRAGE'!$A$3,"")</f>
        <v/>
      </c>
      <c r="C986" s="72" t="str">
        <f>IF(A986&lt;&gt;"",VLOOKUP(A986,'EDC - PRODUCTION'!$A$7:$E$49,5,FALSE),"")</f>
        <v/>
      </c>
      <c r="D986" s="72" t="str">
        <f>IF(A986&lt;&gt;"",VLOOKUP(A986,'EDC - PRODUCTION'!$A$7:$I$49,4,FALSE),"")</f>
        <v/>
      </c>
      <c r="E986" s="44"/>
      <c r="F986" s="45" t="str">
        <f t="shared" si="47"/>
        <v/>
      </c>
      <c r="G986" s="56" t="str">
        <f t="shared" si="48"/>
        <v/>
      </c>
      <c r="H986" s="73"/>
      <c r="I986" s="73"/>
      <c r="J986" s="112" t="str">
        <f t="shared" si="49"/>
        <v/>
      </c>
      <c r="K986" s="68"/>
    </row>
    <row r="987" spans="1:11" x14ac:dyDescent="0.2">
      <c r="A987" s="108"/>
      <c r="B987" s="72" t="str">
        <f>IF(A987&lt;&gt;"",'EDC - PARAMETRAGE'!$A$3,"")</f>
        <v/>
      </c>
      <c r="C987" s="72" t="str">
        <f>IF(A987&lt;&gt;"",VLOOKUP(A987,'EDC - PRODUCTION'!$A$7:$E$49,5,FALSE),"")</f>
        <v/>
      </c>
      <c r="D987" s="72" t="str">
        <f>IF(A987&lt;&gt;"",VLOOKUP(A987,'EDC - PRODUCTION'!$A$7:$I$49,4,FALSE),"")</f>
        <v/>
      </c>
      <c r="E987" s="44"/>
      <c r="F987" s="45" t="str">
        <f t="shared" si="47"/>
        <v/>
      </c>
      <c r="G987" s="56" t="str">
        <f t="shared" si="48"/>
        <v/>
      </c>
      <c r="H987" s="73"/>
      <c r="I987" s="73"/>
      <c r="J987" s="112" t="str">
        <f t="shared" si="49"/>
        <v/>
      </c>
      <c r="K987" s="68"/>
    </row>
    <row r="988" spans="1:11" x14ac:dyDescent="0.2">
      <c r="A988" s="108"/>
      <c r="B988" s="72" t="str">
        <f>IF(A988&lt;&gt;"",'EDC - PARAMETRAGE'!$A$3,"")</f>
        <v/>
      </c>
      <c r="C988" s="72" t="str">
        <f>IF(A988&lt;&gt;"",VLOOKUP(A988,'EDC - PRODUCTION'!$A$7:$E$49,5,FALSE),"")</f>
        <v/>
      </c>
      <c r="D988" s="72" t="str">
        <f>IF(A988&lt;&gt;"",VLOOKUP(A988,'EDC - PRODUCTION'!$A$7:$I$49,4,FALSE),"")</f>
        <v/>
      </c>
      <c r="E988" s="44"/>
      <c r="F988" s="45" t="str">
        <f t="shared" si="47"/>
        <v/>
      </c>
      <c r="G988" s="56" t="str">
        <f t="shared" si="48"/>
        <v/>
      </c>
      <c r="H988" s="73"/>
      <c r="I988" s="73"/>
      <c r="J988" s="112" t="str">
        <f t="shared" si="49"/>
        <v/>
      </c>
      <c r="K988" s="68"/>
    </row>
    <row r="989" spans="1:11" x14ac:dyDescent="0.2">
      <c r="A989" s="108"/>
      <c r="B989" s="72" t="str">
        <f>IF(A989&lt;&gt;"",'EDC - PARAMETRAGE'!$A$3,"")</f>
        <v/>
      </c>
      <c r="C989" s="72" t="str">
        <f>IF(A989&lt;&gt;"",VLOOKUP(A989,'EDC - PRODUCTION'!$A$7:$E$49,5,FALSE),"")</f>
        <v/>
      </c>
      <c r="D989" s="72" t="str">
        <f>IF(A989&lt;&gt;"",VLOOKUP(A989,'EDC - PRODUCTION'!$A$7:$I$49,4,FALSE),"")</f>
        <v/>
      </c>
      <c r="E989" s="44"/>
      <c r="F989" s="45" t="str">
        <f t="shared" si="47"/>
        <v/>
      </c>
      <c r="G989" s="56" t="str">
        <f t="shared" si="48"/>
        <v/>
      </c>
      <c r="H989" s="73"/>
      <c r="I989" s="73"/>
      <c r="J989" s="112" t="str">
        <f t="shared" si="49"/>
        <v/>
      </c>
      <c r="K989" s="68"/>
    </row>
    <row r="990" spans="1:11" x14ac:dyDescent="0.2">
      <c r="A990" s="108"/>
      <c r="B990" s="72" t="str">
        <f>IF(A990&lt;&gt;"",'EDC - PARAMETRAGE'!$A$3,"")</f>
        <v/>
      </c>
      <c r="C990" s="72" t="str">
        <f>IF(A990&lt;&gt;"",VLOOKUP(A990,'EDC - PRODUCTION'!$A$7:$E$49,5,FALSE),"")</f>
        <v/>
      </c>
      <c r="D990" s="72" t="str">
        <f>IF(A990&lt;&gt;"",VLOOKUP(A990,'EDC - PRODUCTION'!$A$7:$I$49,4,FALSE),"")</f>
        <v/>
      </c>
      <c r="E990" s="44"/>
      <c r="F990" s="45" t="str">
        <f t="shared" si="47"/>
        <v/>
      </c>
      <c r="G990" s="56" t="str">
        <f t="shared" si="48"/>
        <v/>
      </c>
      <c r="H990" s="73"/>
      <c r="I990" s="73"/>
      <c r="J990" s="112" t="str">
        <f t="shared" si="49"/>
        <v/>
      </c>
      <c r="K990" s="68"/>
    </row>
    <row r="991" spans="1:11" x14ac:dyDescent="0.2">
      <c r="A991" s="108"/>
      <c r="B991" s="72" t="str">
        <f>IF(A991&lt;&gt;"",'EDC - PARAMETRAGE'!$A$3,"")</f>
        <v/>
      </c>
      <c r="C991" s="72" t="str">
        <f>IF(A991&lt;&gt;"",VLOOKUP(A991,'EDC - PRODUCTION'!$A$7:$E$49,5,FALSE),"")</f>
        <v/>
      </c>
      <c r="D991" s="72" t="str">
        <f>IF(A991&lt;&gt;"",VLOOKUP(A991,'EDC - PRODUCTION'!$A$7:$I$49,4,FALSE),"")</f>
        <v/>
      </c>
      <c r="E991" s="44"/>
      <c r="F991" s="45" t="str">
        <f t="shared" si="47"/>
        <v/>
      </c>
      <c r="G991" s="56" t="str">
        <f t="shared" si="48"/>
        <v/>
      </c>
      <c r="H991" s="73"/>
      <c r="I991" s="73"/>
      <c r="J991" s="112" t="str">
        <f t="shared" si="49"/>
        <v/>
      </c>
      <c r="K991" s="68"/>
    </row>
    <row r="992" spans="1:11" x14ac:dyDescent="0.2">
      <c r="A992" s="108"/>
      <c r="B992" s="72" t="str">
        <f>IF(A992&lt;&gt;"",'EDC - PARAMETRAGE'!$A$3,"")</f>
        <v/>
      </c>
      <c r="C992" s="72" t="str">
        <f>IF(A992&lt;&gt;"",VLOOKUP(A992,'EDC - PRODUCTION'!$A$7:$E$49,5,FALSE),"")</f>
        <v/>
      </c>
      <c r="D992" s="72" t="str">
        <f>IF(A992&lt;&gt;"",VLOOKUP(A992,'EDC - PRODUCTION'!$A$7:$I$49,4,FALSE),"")</f>
        <v/>
      </c>
      <c r="E992" s="44"/>
      <c r="F992" s="45" t="str">
        <f t="shared" si="47"/>
        <v/>
      </c>
      <c r="G992" s="56" t="str">
        <f t="shared" si="48"/>
        <v/>
      </c>
      <c r="H992" s="73"/>
      <c r="I992" s="73"/>
      <c r="J992" s="112" t="str">
        <f t="shared" si="49"/>
        <v/>
      </c>
      <c r="K992" s="68"/>
    </row>
    <row r="993" spans="1:11" x14ac:dyDescent="0.2">
      <c r="A993" s="108"/>
      <c r="B993" s="72" t="str">
        <f>IF(A993&lt;&gt;"",'EDC - PARAMETRAGE'!$A$3,"")</f>
        <v/>
      </c>
      <c r="C993" s="72" t="str">
        <f>IF(A993&lt;&gt;"",VLOOKUP(A993,'EDC - PRODUCTION'!$A$7:$E$49,5,FALSE),"")</f>
        <v/>
      </c>
      <c r="D993" s="72" t="str">
        <f>IF(A993&lt;&gt;"",VLOOKUP(A993,'EDC - PRODUCTION'!$A$7:$I$49,4,FALSE),"")</f>
        <v/>
      </c>
      <c r="E993" s="44"/>
      <c r="F993" s="45" t="str">
        <f t="shared" si="47"/>
        <v/>
      </c>
      <c r="G993" s="56" t="str">
        <f t="shared" si="48"/>
        <v/>
      </c>
      <c r="H993" s="73"/>
      <c r="I993" s="73"/>
      <c r="J993" s="112" t="str">
        <f t="shared" si="49"/>
        <v/>
      </c>
      <c r="K993" s="68"/>
    </row>
    <row r="994" spans="1:11" x14ac:dyDescent="0.2">
      <c r="A994" s="108"/>
      <c r="B994" s="72" t="str">
        <f>IF(A994&lt;&gt;"",'EDC - PARAMETRAGE'!$A$3,"")</f>
        <v/>
      </c>
      <c r="C994" s="72" t="str">
        <f>IF(A994&lt;&gt;"",VLOOKUP(A994,'EDC - PRODUCTION'!$A$7:$E$49,5,FALSE),"")</f>
        <v/>
      </c>
      <c r="D994" s="72" t="str">
        <f>IF(A994&lt;&gt;"",VLOOKUP(A994,'EDC - PRODUCTION'!$A$7:$I$49,4,FALSE),"")</f>
        <v/>
      </c>
      <c r="E994" s="44"/>
      <c r="F994" s="45" t="str">
        <f t="shared" si="47"/>
        <v/>
      </c>
      <c r="G994" s="56" t="str">
        <f t="shared" si="48"/>
        <v/>
      </c>
      <c r="H994" s="73"/>
      <c r="I994" s="73"/>
      <c r="J994" s="112" t="str">
        <f t="shared" si="49"/>
        <v/>
      </c>
      <c r="K994" s="68"/>
    </row>
    <row r="995" spans="1:11" x14ac:dyDescent="0.2">
      <c r="A995" s="108"/>
      <c r="B995" s="72" t="str">
        <f>IF(A995&lt;&gt;"",'EDC - PARAMETRAGE'!$A$3,"")</f>
        <v/>
      </c>
      <c r="C995" s="72" t="str">
        <f>IF(A995&lt;&gt;"",VLOOKUP(A995,'EDC - PRODUCTION'!$A$7:$E$49,5,FALSE),"")</f>
        <v/>
      </c>
      <c r="D995" s="72" t="str">
        <f>IF(A995&lt;&gt;"",VLOOKUP(A995,'EDC - PRODUCTION'!$A$7:$I$49,4,FALSE),"")</f>
        <v/>
      </c>
      <c r="E995" s="44"/>
      <c r="F995" s="45" t="str">
        <f t="shared" si="47"/>
        <v/>
      </c>
      <c r="G995" s="56" t="str">
        <f t="shared" si="48"/>
        <v/>
      </c>
      <c r="H995" s="73"/>
      <c r="I995" s="73"/>
      <c r="J995" s="112" t="str">
        <f t="shared" si="49"/>
        <v/>
      </c>
      <c r="K995" s="68"/>
    </row>
    <row r="996" spans="1:11" x14ac:dyDescent="0.2">
      <c r="A996" s="108"/>
      <c r="B996" s="72" t="str">
        <f>IF(A996&lt;&gt;"",'EDC - PARAMETRAGE'!$A$3,"")</f>
        <v/>
      </c>
      <c r="C996" s="72" t="str">
        <f>IF(A996&lt;&gt;"",VLOOKUP(A996,'EDC - PRODUCTION'!$A$7:$E$49,5,FALSE),"")</f>
        <v/>
      </c>
      <c r="D996" s="72" t="str">
        <f>IF(A996&lt;&gt;"",VLOOKUP(A996,'EDC - PRODUCTION'!$A$7:$I$49,4,FALSE),"")</f>
        <v/>
      </c>
      <c r="E996" s="44"/>
      <c r="F996" s="45" t="str">
        <f t="shared" si="47"/>
        <v/>
      </c>
      <c r="G996" s="56" t="str">
        <f t="shared" si="48"/>
        <v/>
      </c>
      <c r="H996" s="73"/>
      <c r="I996" s="73"/>
      <c r="J996" s="112" t="str">
        <f t="shared" si="49"/>
        <v/>
      </c>
      <c r="K996" s="68"/>
    </row>
    <row r="997" spans="1:11" x14ac:dyDescent="0.2">
      <c r="A997" s="108"/>
      <c r="B997" s="72" t="str">
        <f>IF(A997&lt;&gt;"",'EDC - PARAMETRAGE'!$A$3,"")</f>
        <v/>
      </c>
      <c r="C997" s="72" t="str">
        <f>IF(A997&lt;&gt;"",VLOOKUP(A997,'EDC - PRODUCTION'!$A$7:$E$49,5,FALSE),"")</f>
        <v/>
      </c>
      <c r="D997" s="72" t="str">
        <f>IF(A997&lt;&gt;"",VLOOKUP(A997,'EDC - PRODUCTION'!$A$7:$I$49,4,FALSE),"")</f>
        <v/>
      </c>
      <c r="E997" s="44"/>
      <c r="F997" s="45" t="str">
        <f t="shared" si="47"/>
        <v/>
      </c>
      <c r="G997" s="56" t="str">
        <f t="shared" si="48"/>
        <v/>
      </c>
      <c r="H997" s="73"/>
      <c r="I997" s="73"/>
      <c r="J997" s="112" t="str">
        <f t="shared" si="49"/>
        <v/>
      </c>
      <c r="K997" s="68"/>
    </row>
    <row r="998" spans="1:11" x14ac:dyDescent="0.2">
      <c r="A998" s="108"/>
      <c r="B998" s="72" t="str">
        <f>IF(A998&lt;&gt;"",'EDC - PARAMETRAGE'!$A$3,"")</f>
        <v/>
      </c>
      <c r="C998" s="72" t="str">
        <f>IF(A998&lt;&gt;"",VLOOKUP(A998,'EDC - PRODUCTION'!$A$7:$E$49,5,FALSE),"")</f>
        <v/>
      </c>
      <c r="D998" s="72" t="str">
        <f>IF(A998&lt;&gt;"",VLOOKUP(A998,'EDC - PRODUCTION'!$A$7:$I$49,4,FALSE),"")</f>
        <v/>
      </c>
      <c r="E998" s="44"/>
      <c r="F998" s="45" t="str">
        <f t="shared" si="47"/>
        <v/>
      </c>
      <c r="G998" s="56" t="str">
        <f t="shared" si="48"/>
        <v/>
      </c>
      <c r="H998" s="73"/>
      <c r="I998" s="73"/>
      <c r="J998" s="112" t="str">
        <f t="shared" si="49"/>
        <v/>
      </c>
      <c r="K998" s="68"/>
    </row>
    <row r="999" spans="1:11" x14ac:dyDescent="0.2">
      <c r="A999" s="108"/>
      <c r="B999" s="72" t="str">
        <f>IF(A999&lt;&gt;"",'EDC - PARAMETRAGE'!$A$3,"")</f>
        <v/>
      </c>
      <c r="C999" s="72" t="str">
        <f>IF(A999&lt;&gt;"",VLOOKUP(A999,'EDC - PRODUCTION'!$A$7:$E$49,5,FALSE),"")</f>
        <v/>
      </c>
      <c r="D999" s="72" t="str">
        <f>IF(A999&lt;&gt;"",VLOOKUP(A999,'EDC - PRODUCTION'!$A$7:$I$49,4,FALSE),"")</f>
        <v/>
      </c>
      <c r="E999" s="44"/>
      <c r="F999" s="45" t="str">
        <f t="shared" si="47"/>
        <v/>
      </c>
      <c r="G999" s="56" t="str">
        <f t="shared" si="48"/>
        <v/>
      </c>
      <c r="H999" s="73"/>
      <c r="I999" s="73"/>
      <c r="J999" s="112" t="str">
        <f t="shared" si="49"/>
        <v/>
      </c>
      <c r="K999" s="68"/>
    </row>
    <row r="1000" spans="1:11" x14ac:dyDescent="0.2">
      <c r="A1000" s="108"/>
      <c r="B1000" s="72" t="str">
        <f>IF(A1000&lt;&gt;"",'EDC - PARAMETRAGE'!$A$3,"")</f>
        <v/>
      </c>
      <c r="C1000" s="72" t="str">
        <f>IF(A1000&lt;&gt;"",VLOOKUP(A1000,'EDC - PRODUCTION'!$A$7:$E$49,5,FALSE),"")</f>
        <v/>
      </c>
      <c r="D1000" s="72" t="str">
        <f>IF(A1000&lt;&gt;"",VLOOKUP(A1000,'EDC - PRODUCTION'!$A$7:$I$49,4,FALSE),"")</f>
        <v/>
      </c>
      <c r="E1000" s="44"/>
      <c r="F1000" s="45" t="str">
        <f t="shared" si="47"/>
        <v/>
      </c>
      <c r="G1000" s="56" t="str">
        <f t="shared" si="48"/>
        <v/>
      </c>
      <c r="H1000" s="73"/>
      <c r="I1000" s="73"/>
      <c r="J1000" s="112" t="str">
        <f t="shared" si="49"/>
        <v/>
      </c>
      <c r="K1000" s="68"/>
    </row>
  </sheetData>
  <sheetProtection autoFilter="0"/>
  <autoFilter ref="A2:I1000"/>
  <mergeCells count="3">
    <mergeCell ref="A1:B1"/>
    <mergeCell ref="C1:D1"/>
    <mergeCell ref="E1:K1"/>
  </mergeCells>
  <dataValidations count="1">
    <dataValidation type="whole" allowBlank="1" showInputMessage="1" showErrorMessage="1" sqref="H3:I1048576">
      <formula1>0</formula1>
      <formula2>9.99999999999999E+33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ISE_A_JOUR">
                <anchor moveWithCells="1" sizeWithCells="1">
                  <from>
                    <xdr:col>11</xdr:col>
                    <xdr:colOff>323850</xdr:colOff>
                    <xdr:row>0</xdr:row>
                    <xdr:rowOff>257175</xdr:rowOff>
                  </from>
                  <to>
                    <xdr:col>12</xdr:col>
                    <xdr:colOff>752475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'EDC - PARAMETRAGE'!$I$3:$I$14</xm:f>
          </x14:formula1>
          <xm:sqref>F3:F1000</xm:sqref>
        </x14:dataValidation>
        <x14:dataValidation type="list" allowBlank="1" showInputMessage="1" showErrorMessage="1">
          <x14:formula1>
            <xm:f>'EDC - PARAMETRAGE'!$AI$3:$AI$7</xm:f>
          </x14:formula1>
          <xm:sqref>E3:E1000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00000"/>
  </sheetPr>
  <dimension ref="A1:F43"/>
  <sheetViews>
    <sheetView workbookViewId="0">
      <selection activeCell="A37" sqref="A37"/>
    </sheetView>
  </sheetViews>
  <sheetFormatPr baseColWidth="10" defaultRowHeight="12" x14ac:dyDescent="0.2"/>
  <cols>
    <col min="1" max="2" width="120.7109375" style="1" customWidth="1"/>
    <col min="3" max="3" width="11.42578125" style="1" customWidth="1"/>
    <col min="4" max="16384" width="11.42578125" style="1"/>
  </cols>
  <sheetData>
    <row r="1" spans="1:2" ht="35.25" customHeight="1" x14ac:dyDescent="0.2">
      <c r="A1" s="6" t="s">
        <v>122</v>
      </c>
      <c r="B1" s="6" t="s">
        <v>121</v>
      </c>
    </row>
    <row r="2" spans="1:2" x14ac:dyDescent="0.2">
      <c r="A2" s="7" t="s">
        <v>111</v>
      </c>
      <c r="B2" s="7" t="s">
        <v>111</v>
      </c>
    </row>
    <row r="3" spans="1:2" x14ac:dyDescent="0.2">
      <c r="A3" s="7" t="s">
        <v>76</v>
      </c>
      <c r="B3" s="7" t="s">
        <v>77</v>
      </c>
    </row>
    <row r="4" spans="1:2" x14ac:dyDescent="0.2">
      <c r="A4" s="7" t="s">
        <v>110</v>
      </c>
      <c r="B4" s="7" t="s">
        <v>109</v>
      </c>
    </row>
    <row r="5" spans="1:2" x14ac:dyDescent="0.2">
      <c r="A5" s="7" t="s">
        <v>6</v>
      </c>
      <c r="B5" s="7" t="s">
        <v>104</v>
      </c>
    </row>
    <row r="6" spans="1:2" x14ac:dyDescent="0.2">
      <c r="A6" s="7" t="s">
        <v>24</v>
      </c>
      <c r="B6" s="7" t="s">
        <v>89</v>
      </c>
    </row>
    <row r="7" spans="1:2" x14ac:dyDescent="0.2">
      <c r="A7" s="7" t="s">
        <v>41</v>
      </c>
      <c r="B7" s="7" t="s">
        <v>90</v>
      </c>
    </row>
    <row r="8" spans="1:2" x14ac:dyDescent="0.2">
      <c r="A8" s="7" t="s">
        <v>0</v>
      </c>
      <c r="B8" s="7" t="s">
        <v>91</v>
      </c>
    </row>
    <row r="9" spans="1:2" x14ac:dyDescent="0.2">
      <c r="A9" s="7" t="s">
        <v>73</v>
      </c>
      <c r="B9" s="7" t="s">
        <v>93</v>
      </c>
    </row>
    <row r="10" spans="1:2" x14ac:dyDescent="0.2">
      <c r="A10" s="7" t="s">
        <v>74</v>
      </c>
      <c r="B10" s="7" t="s">
        <v>78</v>
      </c>
    </row>
    <row r="11" spans="1:2" x14ac:dyDescent="0.2">
      <c r="A11" s="7" t="s">
        <v>4</v>
      </c>
      <c r="B11" s="7" t="s">
        <v>17</v>
      </c>
    </row>
    <row r="12" spans="1:2" x14ac:dyDescent="0.2">
      <c r="A12" s="7" t="s">
        <v>2</v>
      </c>
      <c r="B12" s="7" t="s">
        <v>2</v>
      </c>
    </row>
    <row r="13" spans="1:2" x14ac:dyDescent="0.2">
      <c r="A13" s="7" t="s">
        <v>13</v>
      </c>
      <c r="B13" s="7" t="s">
        <v>79</v>
      </c>
    </row>
    <row r="14" spans="1:2" x14ac:dyDescent="0.2">
      <c r="A14" s="7" t="s">
        <v>14</v>
      </c>
      <c r="B14" s="7" t="s">
        <v>94</v>
      </c>
    </row>
    <row r="15" spans="1:2" x14ac:dyDescent="0.2">
      <c r="A15" s="7" t="s">
        <v>42</v>
      </c>
      <c r="B15" s="7" t="s">
        <v>80</v>
      </c>
    </row>
    <row r="16" spans="1:2" x14ac:dyDescent="0.2">
      <c r="A16" s="7" t="s">
        <v>43</v>
      </c>
      <c r="B16" s="7" t="s">
        <v>81</v>
      </c>
    </row>
    <row r="17" spans="1:6" x14ac:dyDescent="0.2">
      <c r="A17" s="7" t="s">
        <v>44</v>
      </c>
      <c r="B17" s="7" t="s">
        <v>84</v>
      </c>
    </row>
    <row r="18" spans="1:6" x14ac:dyDescent="0.2">
      <c r="A18" s="7" t="s">
        <v>45</v>
      </c>
      <c r="B18" s="7" t="s">
        <v>87</v>
      </c>
    </row>
    <row r="19" spans="1:6" x14ac:dyDescent="0.2">
      <c r="A19" s="7" t="s">
        <v>46</v>
      </c>
      <c r="B19" s="7" t="s">
        <v>88</v>
      </c>
    </row>
    <row r="20" spans="1:6" x14ac:dyDescent="0.2">
      <c r="A20" s="7" t="s">
        <v>47</v>
      </c>
      <c r="B20" s="7" t="s">
        <v>82</v>
      </c>
    </row>
    <row r="21" spans="1:6" x14ac:dyDescent="0.2">
      <c r="A21" s="7" t="s">
        <v>26</v>
      </c>
      <c r="B21" s="7" t="s">
        <v>83</v>
      </c>
    </row>
    <row r="22" spans="1:6" x14ac:dyDescent="0.2">
      <c r="A22" s="7" t="s">
        <v>22</v>
      </c>
      <c r="B22" s="7" t="s">
        <v>85</v>
      </c>
      <c r="F22" s="3"/>
    </row>
    <row r="23" spans="1:6" x14ac:dyDescent="0.2">
      <c r="A23" s="7" t="s">
        <v>75</v>
      </c>
      <c r="B23" s="7" t="s">
        <v>86</v>
      </c>
    </row>
    <row r="24" spans="1:6" x14ac:dyDescent="0.2">
      <c r="A24" s="7" t="s">
        <v>7</v>
      </c>
      <c r="B24" s="7" t="s">
        <v>95</v>
      </c>
    </row>
    <row r="25" spans="1:6" x14ac:dyDescent="0.2">
      <c r="A25" s="7" t="s">
        <v>12</v>
      </c>
      <c r="B25" s="7" t="s">
        <v>92</v>
      </c>
    </row>
    <row r="26" spans="1:6" x14ac:dyDescent="0.2">
      <c r="A26" s="7" t="s">
        <v>34</v>
      </c>
      <c r="B26" s="7" t="s">
        <v>96</v>
      </c>
    </row>
    <row r="27" spans="1:6" x14ac:dyDescent="0.2">
      <c r="A27" s="7" t="s">
        <v>66</v>
      </c>
      <c r="B27" s="7" t="s">
        <v>97</v>
      </c>
    </row>
    <row r="28" spans="1:6" x14ac:dyDescent="0.2">
      <c r="A28" s="7" t="s">
        <v>8</v>
      </c>
      <c r="B28" s="7" t="s">
        <v>108</v>
      </c>
    </row>
    <row r="29" spans="1:6" x14ac:dyDescent="0.2">
      <c r="A29" s="7" t="s">
        <v>113</v>
      </c>
      <c r="B29" s="7" t="s">
        <v>98</v>
      </c>
    </row>
    <row r="30" spans="1:6" x14ac:dyDescent="0.2">
      <c r="A30" s="7" t="s">
        <v>3</v>
      </c>
      <c r="B30" s="7" t="s">
        <v>99</v>
      </c>
    </row>
    <row r="31" spans="1:6" x14ac:dyDescent="0.2">
      <c r="A31" s="7" t="s">
        <v>1</v>
      </c>
      <c r="B31" s="7" t="s">
        <v>100</v>
      </c>
    </row>
    <row r="32" spans="1:6" x14ac:dyDescent="0.2">
      <c r="A32" s="7" t="s">
        <v>15</v>
      </c>
      <c r="B32" s="7" t="s">
        <v>101</v>
      </c>
    </row>
    <row r="33" spans="1:2" x14ac:dyDescent="0.2">
      <c r="A33" s="7" t="s">
        <v>51</v>
      </c>
      <c r="B33" s="7" t="s">
        <v>102</v>
      </c>
    </row>
    <row r="34" spans="1:2" x14ac:dyDescent="0.2">
      <c r="A34" s="7" t="s">
        <v>16</v>
      </c>
      <c r="B34" s="7" t="s">
        <v>103</v>
      </c>
    </row>
    <row r="35" spans="1:2" x14ac:dyDescent="0.2">
      <c r="A35" s="7" t="s">
        <v>53</v>
      </c>
      <c r="B35" s="7" t="s">
        <v>105</v>
      </c>
    </row>
    <row r="36" spans="1:2" x14ac:dyDescent="0.2">
      <c r="A36" s="7" t="s">
        <v>23</v>
      </c>
      <c r="B36" s="7" t="s">
        <v>106</v>
      </c>
    </row>
    <row r="37" spans="1:2" x14ac:dyDescent="0.2">
      <c r="A37" s="7" t="s">
        <v>48</v>
      </c>
      <c r="B37" s="7" t="s">
        <v>107</v>
      </c>
    </row>
    <row r="38" spans="1:2" x14ac:dyDescent="0.2">
      <c r="A38" s="7" t="s">
        <v>40</v>
      </c>
      <c r="B38" s="7" t="s">
        <v>40</v>
      </c>
    </row>
    <row r="39" spans="1:2" x14ac:dyDescent="0.2">
      <c r="A39" s="7" t="s">
        <v>35</v>
      </c>
      <c r="B39" s="7" t="s">
        <v>115</v>
      </c>
    </row>
    <row r="40" spans="1:2" x14ac:dyDescent="0.2">
      <c r="A40" s="7" t="s">
        <v>5</v>
      </c>
      <c r="B40" s="7" t="s">
        <v>116</v>
      </c>
    </row>
    <row r="41" spans="1:2" x14ac:dyDescent="0.2">
      <c r="A41" s="7" t="s">
        <v>33</v>
      </c>
      <c r="B41" s="7" t="s">
        <v>117</v>
      </c>
    </row>
    <row r="42" spans="1:2" x14ac:dyDescent="0.2">
      <c r="A42" s="7" t="s">
        <v>119</v>
      </c>
      <c r="B42" s="7" t="s">
        <v>9</v>
      </c>
    </row>
    <row r="43" spans="1:2" x14ac:dyDescent="0.2">
      <c r="A43" s="7" t="s">
        <v>25</v>
      </c>
      <c r="B43" s="7" t="s">
        <v>120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C10"/>
  <sheetViews>
    <sheetView showGridLines="0" workbookViewId="0">
      <selection activeCell="A21" sqref="A21"/>
    </sheetView>
  </sheetViews>
  <sheetFormatPr baseColWidth="10" defaultRowHeight="12" x14ac:dyDescent="0.2"/>
  <cols>
    <col min="1" max="1" width="13.42578125" style="8" customWidth="1"/>
    <col min="2" max="2" width="30" style="8" customWidth="1"/>
    <col min="3" max="3" width="29.7109375" style="8" customWidth="1"/>
    <col min="4" max="4" width="31" style="8" customWidth="1"/>
    <col min="5" max="16384" width="11.42578125" style="8"/>
  </cols>
  <sheetData>
    <row r="1" spans="1:3" s="9" customFormat="1" ht="45.75" customHeight="1" x14ac:dyDescent="0.25">
      <c r="A1" s="10" t="s">
        <v>83</v>
      </c>
      <c r="B1" s="11" t="s">
        <v>128</v>
      </c>
      <c r="C1" s="10" t="s">
        <v>129</v>
      </c>
    </row>
    <row r="2" spans="1:3" ht="15" customHeight="1" x14ac:dyDescent="0.2">
      <c r="A2" s="12" t="s">
        <v>11</v>
      </c>
      <c r="B2" s="12" t="s">
        <v>124</v>
      </c>
      <c r="C2" s="13" t="s">
        <v>130</v>
      </c>
    </row>
    <row r="3" spans="1:3" ht="15" customHeight="1" x14ac:dyDescent="0.2">
      <c r="A3" s="12" t="s">
        <v>10</v>
      </c>
      <c r="B3" s="12" t="s">
        <v>125</v>
      </c>
      <c r="C3" s="13" t="s">
        <v>130</v>
      </c>
    </row>
    <row r="4" spans="1:3" ht="15" customHeight="1" x14ac:dyDescent="0.2">
      <c r="A4" s="12" t="s">
        <v>36</v>
      </c>
      <c r="B4" s="12" t="s">
        <v>126</v>
      </c>
      <c r="C4" s="13" t="s">
        <v>131</v>
      </c>
    </row>
    <row r="5" spans="1:3" ht="15" customHeight="1" x14ac:dyDescent="0.2">
      <c r="A5" s="12" t="s">
        <v>37</v>
      </c>
      <c r="B5" s="12" t="s">
        <v>137</v>
      </c>
      <c r="C5" s="13" t="s">
        <v>132</v>
      </c>
    </row>
    <row r="6" spans="1:3" ht="15" customHeight="1" x14ac:dyDescent="0.2">
      <c r="A6" s="12" t="s">
        <v>38</v>
      </c>
      <c r="B6" s="12" t="s">
        <v>135</v>
      </c>
      <c r="C6" s="13" t="str">
        <f>UPPER(B6)</f>
        <v>MIXTE HABITATION ET BUREAUX</v>
      </c>
    </row>
    <row r="7" spans="1:3" ht="15" customHeight="1" x14ac:dyDescent="0.2">
      <c r="A7" s="12" t="s">
        <v>39</v>
      </c>
      <c r="B7" s="12" t="s">
        <v>136</v>
      </c>
      <c r="C7" s="13" t="str">
        <f>UPPER(B7)</f>
        <v>MIXTE HABITATION ET COMMERCES</v>
      </c>
    </row>
    <row r="8" spans="1:3" ht="15" customHeight="1" x14ac:dyDescent="0.2">
      <c r="A8" s="12" t="s">
        <v>61</v>
      </c>
      <c r="B8" s="12" t="s">
        <v>127</v>
      </c>
      <c r="C8" s="13" t="s">
        <v>130</v>
      </c>
    </row>
    <row r="9" spans="1:3" ht="15" customHeight="1" x14ac:dyDescent="0.2">
      <c r="A9" s="12" t="s">
        <v>27</v>
      </c>
      <c r="B9" s="12" t="s">
        <v>138</v>
      </c>
      <c r="C9" s="13" t="s">
        <v>133</v>
      </c>
    </row>
    <row r="10" spans="1:3" ht="15" customHeight="1" x14ac:dyDescent="0.2">
      <c r="A10" s="12" t="s">
        <v>28</v>
      </c>
      <c r="B10" s="12" t="s">
        <v>139</v>
      </c>
      <c r="C10" s="13" t="s">
        <v>134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3" tint="0.79998168889431442"/>
  </sheetPr>
  <dimension ref="A1:J108"/>
  <sheetViews>
    <sheetView showGridLines="0" workbookViewId="0"/>
  </sheetViews>
  <sheetFormatPr baseColWidth="10" defaultRowHeight="15" x14ac:dyDescent="0.25"/>
  <cols>
    <col min="1" max="1" width="21" style="2" bestFit="1" customWidth="1"/>
    <col min="2" max="2" width="27.85546875" style="2" bestFit="1" customWidth="1"/>
    <col min="3" max="3" width="38.85546875" style="2" customWidth="1"/>
  </cols>
  <sheetData>
    <row r="1" spans="1:10" ht="18.75" x14ac:dyDescent="0.3">
      <c r="A1" s="29" t="s">
        <v>147</v>
      </c>
      <c r="B1" t="s">
        <v>241</v>
      </c>
      <c r="C1" t="s">
        <v>242</v>
      </c>
      <c r="J1" s="28" t="s">
        <v>149</v>
      </c>
    </row>
    <row r="2" spans="1:10" x14ac:dyDescent="0.25">
      <c r="A2" s="30" t="s">
        <v>148</v>
      </c>
      <c r="B2" s="31">
        <v>0</v>
      </c>
      <c r="C2" s="31">
        <v>0</v>
      </c>
    </row>
    <row r="3" spans="1:10" x14ac:dyDescent="0.25">
      <c r="A3" s="30">
        <v>2</v>
      </c>
      <c r="B3" s="31">
        <v>5</v>
      </c>
      <c r="C3" s="31">
        <v>3186</v>
      </c>
    </row>
    <row r="4" spans="1:10" x14ac:dyDescent="0.25">
      <c r="A4" s="30">
        <v>3</v>
      </c>
      <c r="B4" s="31">
        <v>2</v>
      </c>
      <c r="C4" s="31">
        <v>1466</v>
      </c>
    </row>
    <row r="5" spans="1:10" x14ac:dyDescent="0.25">
      <c r="A5" s="30">
        <v>11</v>
      </c>
      <c r="B5" s="31">
        <v>10</v>
      </c>
      <c r="C5" s="31">
        <v>16932</v>
      </c>
    </row>
    <row r="6" spans="1:10" x14ac:dyDescent="0.25">
      <c r="A6" s="30">
        <v>17</v>
      </c>
      <c r="B6" s="31">
        <v>2</v>
      </c>
      <c r="C6" s="31">
        <v>2111</v>
      </c>
    </row>
    <row r="7" spans="1:10" x14ac:dyDescent="0.25">
      <c r="A7" s="30">
        <v>22</v>
      </c>
      <c r="B7" s="31">
        <v>5</v>
      </c>
      <c r="C7" s="31">
        <v>15599</v>
      </c>
    </row>
    <row r="8" spans="1:10" x14ac:dyDescent="0.25">
      <c r="A8" s="30">
        <v>25</v>
      </c>
      <c r="B8" s="31">
        <v>1</v>
      </c>
      <c r="C8" s="31">
        <v>158</v>
      </c>
    </row>
    <row r="9" spans="1:10" x14ac:dyDescent="0.25">
      <c r="A9" s="30">
        <v>28</v>
      </c>
      <c r="B9" s="31">
        <v>1</v>
      </c>
      <c r="C9" s="31">
        <v>0</v>
      </c>
    </row>
    <row r="10" spans="1:10" x14ac:dyDescent="0.25">
      <c r="A10" s="30">
        <v>31</v>
      </c>
      <c r="B10" s="31">
        <v>3</v>
      </c>
      <c r="C10" s="31">
        <v>1261</v>
      </c>
    </row>
    <row r="11" spans="1:10" x14ac:dyDescent="0.25">
      <c r="A11" s="30">
        <v>9</v>
      </c>
      <c r="B11" s="31">
        <v>5</v>
      </c>
      <c r="C11" s="31">
        <v>6301</v>
      </c>
    </row>
    <row r="12" spans="1:10" x14ac:dyDescent="0.25">
      <c r="A12" s="30">
        <v>24</v>
      </c>
      <c r="B12" s="31">
        <v>1</v>
      </c>
      <c r="C12" s="31">
        <v>2276</v>
      </c>
    </row>
    <row r="13" spans="1:10" x14ac:dyDescent="0.25">
      <c r="A13" s="30">
        <v>20</v>
      </c>
      <c r="B13" s="31">
        <v>5</v>
      </c>
      <c r="C13" s="31">
        <v>10740</v>
      </c>
    </row>
    <row r="14" spans="1:10" x14ac:dyDescent="0.25">
      <c r="A14" s="30">
        <v>26</v>
      </c>
      <c r="B14" s="31">
        <v>1</v>
      </c>
      <c r="C14" s="31">
        <v>1600</v>
      </c>
    </row>
    <row r="15" spans="1:10" x14ac:dyDescent="0.25">
      <c r="A15" s="30">
        <v>12</v>
      </c>
      <c r="B15" s="31">
        <v>2</v>
      </c>
      <c r="C15" s="31">
        <v>3399</v>
      </c>
    </row>
    <row r="16" spans="1:10" x14ac:dyDescent="0.25">
      <c r="A16" s="30">
        <v>13</v>
      </c>
      <c r="B16" s="31">
        <v>3</v>
      </c>
      <c r="C16" s="31">
        <v>6326</v>
      </c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  <row r="28" spans="1:3" x14ac:dyDescent="0.25">
      <c r="A28"/>
      <c r="B28"/>
      <c r="C28"/>
    </row>
    <row r="29" spans="1:3" x14ac:dyDescent="0.25">
      <c r="A29"/>
      <c r="B29"/>
      <c r="C29"/>
    </row>
    <row r="30" spans="1:3" x14ac:dyDescent="0.25">
      <c r="A30"/>
      <c r="B30"/>
      <c r="C30"/>
    </row>
    <row r="31" spans="1:3" x14ac:dyDescent="0.25">
      <c r="A31"/>
      <c r="B31"/>
      <c r="C31"/>
    </row>
    <row r="32" spans="1:3" x14ac:dyDescent="0.25">
      <c r="A32"/>
      <c r="B32"/>
      <c r="C32"/>
    </row>
    <row r="33" spans="1:3" x14ac:dyDescent="0.25">
      <c r="A33"/>
      <c r="B33"/>
      <c r="C33"/>
    </row>
    <row r="34" spans="1:3" x14ac:dyDescent="0.25">
      <c r="A34"/>
      <c r="B34"/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  <c r="B40"/>
      <c r="C40"/>
    </row>
    <row r="41" spans="1:3" x14ac:dyDescent="0.25">
      <c r="A41"/>
      <c r="B41"/>
      <c r="C41"/>
    </row>
    <row r="42" spans="1:3" x14ac:dyDescent="0.25">
      <c r="A42"/>
      <c r="B42"/>
      <c r="C42"/>
    </row>
    <row r="43" spans="1:3" x14ac:dyDescent="0.25">
      <c r="A43"/>
      <c r="B43"/>
      <c r="C43"/>
    </row>
    <row r="44" spans="1:3" x14ac:dyDescent="0.25">
      <c r="A44"/>
      <c r="B44"/>
      <c r="C44"/>
    </row>
    <row r="45" spans="1:3" x14ac:dyDescent="0.25">
      <c r="A45"/>
      <c r="B45"/>
      <c r="C45"/>
    </row>
    <row r="46" spans="1:3" x14ac:dyDescent="0.25">
      <c r="A46"/>
      <c r="B46"/>
      <c r="C46"/>
    </row>
    <row r="47" spans="1:3" x14ac:dyDescent="0.25">
      <c r="A47"/>
      <c r="B47"/>
      <c r="C47"/>
    </row>
    <row r="48" spans="1:3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  <row r="56" spans="1:3" x14ac:dyDescent="0.25">
      <c r="A56"/>
      <c r="B56"/>
      <c r="C56"/>
    </row>
    <row r="57" spans="1:3" x14ac:dyDescent="0.25">
      <c r="A57"/>
      <c r="B57"/>
      <c r="C57"/>
    </row>
    <row r="58" spans="1:3" x14ac:dyDescent="0.25">
      <c r="A58"/>
      <c r="B58"/>
      <c r="C58"/>
    </row>
    <row r="59" spans="1:3" x14ac:dyDescent="0.25">
      <c r="A59"/>
      <c r="B59"/>
      <c r="C59"/>
    </row>
    <row r="60" spans="1:3" x14ac:dyDescent="0.25">
      <c r="A60"/>
      <c r="B60"/>
      <c r="C60"/>
    </row>
    <row r="61" spans="1:3" x14ac:dyDescent="0.25">
      <c r="A61"/>
      <c r="B61"/>
      <c r="C61"/>
    </row>
    <row r="62" spans="1:3" x14ac:dyDescent="0.25">
      <c r="A62"/>
      <c r="B62"/>
      <c r="C62"/>
    </row>
    <row r="63" spans="1:3" x14ac:dyDescent="0.25">
      <c r="A63"/>
      <c r="B63"/>
      <c r="C63"/>
    </row>
    <row r="64" spans="1:3" x14ac:dyDescent="0.25">
      <c r="A64"/>
      <c r="B64"/>
      <c r="C64"/>
    </row>
    <row r="65" spans="1:3" x14ac:dyDescent="0.25">
      <c r="A65"/>
      <c r="B65"/>
      <c r="C65"/>
    </row>
    <row r="66" spans="1:3" x14ac:dyDescent="0.25">
      <c r="A66"/>
      <c r="B66"/>
      <c r="C66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</sheetData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EDC - PARAMETRAGE</vt:lpstr>
      <vt:lpstr>EDC - PRODUCTION</vt:lpstr>
      <vt:lpstr>EDC - TABLE SINISTRE</vt:lpstr>
      <vt:lpstr>RECODIFICATION VARIABLES</vt:lpstr>
      <vt:lpstr>Libelles Types de risques</vt:lpstr>
      <vt:lpstr>Tableaux à actualiser</vt:lpstr>
      <vt:lpstr>VARIABLE_ACTUELLE</vt:lpstr>
    </vt:vector>
  </TitlesOfParts>
  <Company>Verspieren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MATRICE ETAT DE COPROS MRI</dc:title>
  <dc:creator>DESJARS Marc</dc:creator>
  <cp:lastModifiedBy>DESJARS Marc</cp:lastModifiedBy>
  <cp:lastPrinted>2015-12-23T13:53:57Z</cp:lastPrinted>
  <dcterms:created xsi:type="dcterms:W3CDTF">2012-08-27T13:13:13Z</dcterms:created>
  <dcterms:modified xsi:type="dcterms:W3CDTF">2016-11-30T14:53:04Z</dcterms:modified>
</cp:coreProperties>
</file>